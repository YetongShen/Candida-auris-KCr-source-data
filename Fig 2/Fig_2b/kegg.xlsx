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实验数据\Candida_auris\蛋白质谱第七次分析（原始数据重新提供）\Figure5_ 扰乱Cr水平耐药性变化\NATOCr\GOKegg\"/>
    </mc:Choice>
  </mc:AlternateContent>
  <xr:revisionPtr revIDLastSave="0" documentId="13_ncr:1_{D0A2824C-E72D-457A-9F17-4DE4D2CC497B}" xr6:coauthVersionLast="47" xr6:coauthVersionMax="47" xr10:uidLastSave="{00000000-0000-0000-0000-000000000000}"/>
  <bookViews>
    <workbookView xWindow="-108" yWindow="-108" windowWidth="30936" windowHeight="16896" activeTab="1" xr2:uid="{11D27297-5052-4B02-A47B-7AD1EA9320F0}"/>
  </bookViews>
  <sheets>
    <sheet name="2C" sheetId="2" r:id="rId1"/>
    <sheet name="2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</calcChain>
</file>

<file path=xl/sharedStrings.xml><?xml version="1.0" encoding="utf-8"?>
<sst xmlns="http://schemas.openxmlformats.org/spreadsheetml/2006/main" count="345" uniqueCount="193">
  <si>
    <t>Oxidative phosphorylation</t>
  </si>
  <si>
    <t>2-Oxocarboxylic acid metabolism</t>
  </si>
  <si>
    <t>Carbon metabolism</t>
  </si>
  <si>
    <t>Biosynthesis of amino acids</t>
  </si>
  <si>
    <t>Biosynthesis of secondary metabolites</t>
  </si>
  <si>
    <t>Citrate cycle (TCA cycle)</t>
  </si>
  <si>
    <t>Purine metabolism</t>
  </si>
  <si>
    <t>Peroxisome</t>
  </si>
  <si>
    <t>Propanoate metabolism</t>
  </si>
  <si>
    <t>Tryptophan metabolism</t>
  </si>
  <si>
    <t>Phenylalanine, tyrosine and tryptophan biosynthesis</t>
  </si>
  <si>
    <t>Ubiquinone and other terpenoid-quinone biosynthesis</t>
  </si>
  <si>
    <t>Glycerolipid metabolism</t>
  </si>
  <si>
    <t>Pentose phosphate pathway</t>
  </si>
  <si>
    <t>Phagosome</t>
  </si>
  <si>
    <t>DNA replication</t>
  </si>
  <si>
    <t>Biosynthesis of cofactors</t>
  </si>
  <si>
    <t>Porphyrin and chlorophyll metabolism</t>
  </si>
  <si>
    <t>Lysine biosynthesis</t>
  </si>
  <si>
    <t>Arginine and proline metabolism</t>
  </si>
  <si>
    <t>Base excision repair</t>
  </si>
  <si>
    <t>Ribosome</t>
  </si>
  <si>
    <t>Pyrimidine metabolism</t>
  </si>
  <si>
    <t>Cysteine and methionine metabolism</t>
  </si>
  <si>
    <t>Ribosome biogenesis in eukaryotes</t>
  </si>
  <si>
    <t>Protein processing in endoplasmic reticulum</t>
  </si>
  <si>
    <t>One carbon pool by folate</t>
  </si>
  <si>
    <t>Proteasome</t>
  </si>
  <si>
    <t>Inositol phosphate metabolism</t>
  </si>
  <si>
    <t>Fructose and mannose metabolism</t>
  </si>
  <si>
    <t>Mismatch repair</t>
  </si>
  <si>
    <t>Tyrosine metabolism</t>
  </si>
  <si>
    <t>mRNA surveillance pathway</t>
  </si>
  <si>
    <t>Valine, leucine and isoleucine biosynthesis</t>
  </si>
  <si>
    <t>Endocytosis</t>
  </si>
  <si>
    <t>Galactose metabolism</t>
  </si>
  <si>
    <t>Basal transcription factors</t>
  </si>
  <si>
    <t>Folate biosynthesis</t>
  </si>
  <si>
    <t>Longevity regulating pathway - multiple species</t>
  </si>
  <si>
    <t>Phenylalanine metabolism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</si>
  <si>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</si>
  <si>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</si>
  <si>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</si>
  <si>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</si>
  <si>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</si>
  <si>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</si>
  <si>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</si>
  <si>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</si>
  <si>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</si>
  <si>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map03008</t>
  </si>
  <si>
    <t>13/80</t>
  </si>
  <si>
    <t>73/1903</t>
  </si>
  <si>
    <t>A0A2H0ZCC5/A0A2H1A443/A0A2H1A002/A0A2H1A808/A0A2H1A711/A0A2H0ZK98/A0A2H0ZMR8/A0A2H0ZMZ4/A0A2H0ZPW6/A0A2H0ZVC6/A0A2H0ZWS3/A0A2H1A1C9/A0A2H1A4T5</t>
  </si>
  <si>
    <t>map00240</t>
  </si>
  <si>
    <t>4/80</t>
  </si>
  <si>
    <t>33/1903</t>
  </si>
  <si>
    <t>A0A2H0ZCG7/A0A2H0ZJY1/A0A2H0ZX88/A0A2H0ZY80</t>
  </si>
  <si>
    <t>map03013</t>
  </si>
  <si>
    <t>Nucleocytoplasmic transport</t>
  </si>
  <si>
    <t>7/80</t>
  </si>
  <si>
    <t>82/1903</t>
  </si>
  <si>
    <t>A0A2H0ZCC5/A0A2H1A443/A0A2H0ZMR8/A0A2H0ZUQ3/A0A2H0ZY84/A0A2H1A1C9/A0A2H1A6F5</t>
  </si>
  <si>
    <t>map01200</t>
  </si>
  <si>
    <t>98/1903</t>
  </si>
  <si>
    <t>A0A2H0ZGE4/A0A2H0ZEI9/A0A2H1A534/A0A2H0ZRW7/A0A2H0ZT83/A0A2H0ZYR6/A0A2H1A473</t>
  </si>
  <si>
    <t>map04141</t>
  </si>
  <si>
    <t>6/80</t>
  </si>
  <si>
    <t>80/1903</t>
  </si>
  <si>
    <t>A0A2H0ZFV2/A0A2H1A0E9/A0A2H0ZJQ5/A0A2H0ZYT0/A0A2H1A1K3/A0A2H1A3E8</t>
  </si>
  <si>
    <t>map00670</t>
  </si>
  <si>
    <t>2/80</t>
  </si>
  <si>
    <t>15/1903</t>
  </si>
  <si>
    <t>A0A2H0ZCG7/A0A2H0ZQ96</t>
  </si>
  <si>
    <t>map03050</t>
  </si>
  <si>
    <t>3/80</t>
  </si>
  <si>
    <t>37/1903</t>
  </si>
  <si>
    <t>A0A2H0ZKZ7/A0A2H0ZVV6/A0A2H1A2Q1</t>
  </si>
  <si>
    <t>map00562</t>
  </si>
  <si>
    <t>20/1903</t>
  </si>
  <si>
    <t>A0A2H0ZCA6/A0A2H0ZYR6</t>
  </si>
  <si>
    <t>map00051</t>
  </si>
  <si>
    <t>22/1903</t>
  </si>
  <si>
    <t>A0A2H0ZZF1/A0A2H0ZYR6</t>
  </si>
  <si>
    <t>map03430</t>
  </si>
  <si>
    <t>A0A2H0ZE72/A0A2H0ZYY1</t>
  </si>
  <si>
    <t>map00350</t>
  </si>
  <si>
    <t>23/1903</t>
  </si>
  <si>
    <t>A0A2H0ZKD6/A0A2H1A473</t>
  </si>
  <si>
    <t>map01240</t>
  </si>
  <si>
    <t>123/1903</t>
  </si>
  <si>
    <t>A0A2H0ZS62/A0A2H0ZI09/A0A2H0ZIK5/A0A2H0ZJY1/A0A2H0ZNB4/A0A2H0ZPN9/A0A2H0ZPP5</t>
  </si>
  <si>
    <t>map00270</t>
  </si>
  <si>
    <t>42/1903</t>
  </si>
  <si>
    <t>A0A2H0ZRW7/A0A2H0ZT83/A0A2H1A473</t>
  </si>
  <si>
    <t>map00020</t>
  </si>
  <si>
    <t>27/1903</t>
  </si>
  <si>
    <t>A0A2H1A534/A0A2H0ZT83</t>
  </si>
  <si>
    <t>map03015</t>
  </si>
  <si>
    <t>49/1903</t>
  </si>
  <si>
    <t>A0A2H0ZUU8/A0A2H0ZY84/A0A2H1A6X9</t>
  </si>
  <si>
    <t>map00130</t>
  </si>
  <si>
    <t>1/80</t>
  </si>
  <si>
    <t>10/1903</t>
  </si>
  <si>
    <t>A0A2H0ZI09</t>
  </si>
  <si>
    <t>map00290</t>
  </si>
  <si>
    <t>A0A2H0ZRW7</t>
  </si>
  <si>
    <t>map04144</t>
  </si>
  <si>
    <t>72/1903</t>
  </si>
  <si>
    <t>A0A2H0ZE72/A0A2H0ZMM5/A0A2H0ZNI0/A0A2H1A3E8</t>
  </si>
  <si>
    <t>map00190</t>
  </si>
  <si>
    <t>A0A2H0ZK37/A0A2H1A534/A0A2H0ZN16/A0A2H1A1Y1</t>
  </si>
  <si>
    <t>map00052</t>
  </si>
  <si>
    <t>11/1903</t>
  </si>
  <si>
    <t>A0A2H1A1E5</t>
  </si>
  <si>
    <t>map03022</t>
  </si>
  <si>
    <t>32/1903</t>
  </si>
  <si>
    <t>A0A2H1A2V9/A0A2H1A570</t>
  </si>
  <si>
    <t>map00300</t>
  </si>
  <si>
    <t>12/1903</t>
  </si>
  <si>
    <t>A0A2H0ZZC8</t>
  </si>
  <si>
    <t>map00790</t>
  </si>
  <si>
    <t>A0A2H0ZIK5</t>
  </si>
  <si>
    <t>map01210</t>
  </si>
  <si>
    <t>A0A2H0ZZC8/A0A2H1A473</t>
  </si>
  <si>
    <t>map04213</t>
  </si>
  <si>
    <t>A0A2H0ZMI1/A0A2H1A3E8</t>
  </si>
  <si>
    <t>24/235</t>
  </si>
  <si>
    <t>A0A2H0ZVY2/A0A2H1A743/A0A2H1A9B9/A0A2H0ZVS7/A0A2H1A2B0/A0A2H0ZIG7/A0A2H0ZIH3/A0A2H0ZLM0/A0A2H0ZNZ4/A0A2H0ZPA4/A0A2H0ZPZ4/A0A2H0ZQG6/A0A2H0ZS63/A0A2H0ZSR2/A0A2H0ZTM5/A0A2H0ZVQ3/A0A2H0ZY25/A0A2H0ZYS1/A0A2H1A226/A0A2H1A2F0/A0A2H1A540/A0A2H1A5F1/A0A2H1A667/A0A2H1A763</t>
  </si>
  <si>
    <t>10/235</t>
  </si>
  <si>
    <t>A0A2H0ZLU3/A0A2H0ZMR1/A0A2H0ZN20/A0A2H0ZNP6/A0A2H0ZQV0/A0A2H0ZY11/A0A2H0ZY71/A0A2H0ZYK1/A0A2H1A6I6/A0A2H1A6R7</t>
  </si>
  <si>
    <t>21/235</t>
  </si>
  <si>
    <t>A0A2H0ZEH3/A0A2H0ZNA8/A0A2H0ZYR1/A0A2H1A680/A0A2H0ZBV6/A0A2H0ZES9/A0A2H0ZLR1/A0A2H0ZLU3/A0A2H0ZNC9/A0A2H0ZPC2/A0A2H0ZPZ1/A0A2H0ZQV0/A0A2H0ZU66/A0A2H0ZVQ3/A0A2H0ZXN9/A0A2H0ZYK1/A0A2H1A0X5/A0A2H1A1F9/A0A2H1A5F1/A0A2H1A6I6/A0A2H1A8Q9</t>
  </si>
  <si>
    <t>map01230</t>
  </si>
  <si>
    <t>22/235</t>
  </si>
  <si>
    <t>111/1903</t>
  </si>
  <si>
    <t>A0A2H0ZNM4/A0A2H0ZMS4/A0A2H0ZYR1/A0A2H1A680/A0A2H0ZES9/A0A2H0ZLU3/A0A2H0ZMR1/A0A2H0ZN20/A0A2H0ZNP6/A0A2H0ZQV0/A0A2H0ZVG5/A0A2H0ZWH5/A0A2H0ZXN9/A0A2H0ZY11/A0A2H0ZY71/A0A2H0ZYK1/A0A2H0ZZA2/A0A2H1A0X5/A0A2H1A1F9/A0A2H1A6I6/A0A2H1A6R7/A0A2H1A8Q9</t>
  </si>
  <si>
    <t>map01110</t>
  </si>
  <si>
    <t>52/235</t>
  </si>
  <si>
    <t>333/1903</t>
  </si>
  <si>
    <t>A0A2H0ZEH3/A0A2H0ZI83/A0A2H0ZNM4/A0A2H0ZWH2/A0A2H0ZHU4/A0A2H0ZMS4/A0A2H0ZNA8/A0A2H0ZYR1/A0A2H1A680/A0A2H0ZD55/A0A2H0ZEH5/A0A2H0ZES9/A0A2H0ZI63/A0A2H0ZIG5/A0A2H0ZIT5/A0A2H0ZKU6/A0A2H0ZL82/A0A2H0ZLK6/A0A2H0ZLU3/A0A2H0ZMH8/A0A2H0ZMQ5/A0A2H0ZMR1/A0A2H0ZN20/A0A2H0ZNP6/A0A2H0ZNZ9/A0A2H0ZP43/A0A2H0ZPC2/A0A2H0ZPZ1/A0A2H0ZQV0/A0A2H0ZQV3/A0A2H0ZU66/A0A2H0ZVG5/A0A2H0ZVI7/A0A2H0ZVQ3/A0A2H0ZWB4/A0A2H0ZWE2/A0A2H0ZWH5/A0A2H0ZXN9/A0A2H0ZY11/A0A2H0ZY71/A0A2H0ZYK1/A0A2H0ZYS1/A0A2H0ZZA2/A0A2H1A0S8/A0A2H1A0W6/A0A2H1A0X5/A0A2H1A1F9/A0A2H1A1R2/A0A2H1A5F1/A0A2H1A6I6/A0A2H1A6R7/A0A2H1A8Q9</t>
  </si>
  <si>
    <t>7/235</t>
  </si>
  <si>
    <t>A0A2H0ZEH3/A0A2H0ZLU3/A0A2H0ZPC2/A0A2H0ZQV0/A0A2H0ZVQ3/A0A2H1A5F1/A0A2H1A6I6</t>
  </si>
  <si>
    <t>map00230</t>
  </si>
  <si>
    <t>13/235</t>
  </si>
  <si>
    <t>68/1903</t>
  </si>
  <si>
    <t>A0A2H0ZI83/A0A2H0ZFA0/A0A2H0ZI63/A0A2H0ZII5/A0A2H0ZIT9/A0A2H0ZN52/A0A2H0ZQ56/A0A2H0ZQK7/A0A2H1A0W6/A0A2H1A0X5/A0A2H1A1R2/A0A2H1A5H3/A0A2H1A7D4</t>
  </si>
  <si>
    <t>map04146</t>
  </si>
  <si>
    <t>11/235</t>
  </si>
  <si>
    <t>55/1903</t>
  </si>
  <si>
    <t>A0A2H0ZKE7/A0A2H0ZC37/A0A2H0ZIG5/A0A2H0ZJ01/A0A2H0ZLU3/A0A2H0ZPZ1/A0A2H0ZWE2/A0A2H0ZXR6/A0A2H0ZYC6/A0A2H1A2J2/A0A2H1A6I6</t>
  </si>
  <si>
    <t>map00640</t>
  </si>
  <si>
    <t>5/235</t>
  </si>
  <si>
    <t>19/1903</t>
  </si>
  <si>
    <t>A0A2H0ZEH3/A0A2H0ZNA8/A0A2H0ZBV6/A0A2H0ZLR1/A0A2H0ZPZ1</t>
  </si>
  <si>
    <t>map00380</t>
  </si>
  <si>
    <t>A0A2H0ZCQ0/A0A2H0ZNA8/A0A2H0ZNZ6/A0A2H0ZDF4/A0A2H0ZY11</t>
  </si>
  <si>
    <t>map00400</t>
  </si>
  <si>
    <t>A0A2H0ZNM4/A0A2H0ZMS4/A0A2H0ZY11/A0A2H0ZYK1/A0A2H0ZZA2</t>
  </si>
  <si>
    <t>3/235</t>
  </si>
  <si>
    <t>A0A2H0ZHU4/A0A2H0ZWB4/A0A2H0ZY11</t>
  </si>
  <si>
    <t>map00561</t>
  </si>
  <si>
    <t>6/235</t>
  </si>
  <si>
    <t>28/1903</t>
  </si>
  <si>
    <t>A0A2H0ZD62/A0A2H0ZIS4/A0A2H0ZJY5/A0A2H0ZKU6/A0A2H0ZLK6/A0A2H1A0S8</t>
  </si>
  <si>
    <t>map00030</t>
  </si>
  <si>
    <t>A0A2H1A680/A0A2H0ZUN5/A0A2H0ZES9/A0A2H0ZU66/A0A2H1A0X5</t>
  </si>
  <si>
    <t>map04145</t>
  </si>
  <si>
    <t>36/1903</t>
  </si>
  <si>
    <t>A0A2H0ZFR6/A0A2H0ZLC4/A0A2H0ZQG6/A0A2H0ZQJ5/A0A2H1A226/A0A2H1A540/A0A2H1A667</t>
  </si>
  <si>
    <t>map03030</t>
  </si>
  <si>
    <t>30/1903</t>
  </si>
  <si>
    <t>A0A2H0ZHC9/A0A2H0ZKF9/A0A2H0ZKU8/A0A2H0ZMK1/A0A2H0ZVU8/A0A2H0ZVY0</t>
  </si>
  <si>
    <t>19/235</t>
  </si>
  <si>
    <t>A0A2H0ZI83/A0A2H1A179/A0A2H1A1L9/A0A2H0ZCQ0/A0A2H0ZHU4/A0A2H1A2E8/A0A2H1A7P0/A0A2H0ZKN0/A0A2H0ZH52/A0A2H0ZIT5/A0A2H0ZNZ9/A0A2H0ZQV3/A0A2H0ZVI7/A0A2H0ZVK9/A0A2H0ZWB4/A0A2H0ZYS1/A0A2H1A0S8/A0A2H1A1R2/A0A2H1A6S3</t>
  </si>
  <si>
    <t>map00860</t>
  </si>
  <si>
    <t>4/235</t>
  </si>
  <si>
    <t>18/1903</t>
  </si>
  <si>
    <t>A0A2H1A396/A0A2H0ZIT5/A0A2H0ZNZ9/A0A2H0ZYS1</t>
  </si>
  <si>
    <t>A0A2H0ZMR1/A0A2H0ZN20/A0A2H0ZY11</t>
  </si>
  <si>
    <t>map00330</t>
  </si>
  <si>
    <t>A0A2H0ZWH2/A0A2H0ZDF4/A0A2H0ZIG5/A0A2H0ZMQ5/A0A2H0ZWE2/A0A2H0ZYK1</t>
  </si>
  <si>
    <t>map03410</t>
  </si>
  <si>
    <t>A0A2H0ZHC9/A0A2H0ZKU8/A0A2H0ZVU8/A0A2H0ZVY0</t>
  </si>
  <si>
    <t>map03010</t>
  </si>
  <si>
    <t>17/235</t>
  </si>
  <si>
    <t>112/1903</t>
  </si>
  <si>
    <t>A0A2H0ZQD9/A0A2H0ZD58/A0A2H0ZCD7/A0A2H0ZDB6/A0A2H0ZHF9/A0A2H0ZK35/A0A2H0ZLJ5/A0A2H0ZM29/A0A2H0ZMU1/A0A2H0ZQ99/A0A2H0ZS54/A0A2H0ZW69/A0A2H0ZYM3/A0A2H0ZYS2/A0A2H1A538/A0A2H1A599/A0A2H1A6W9</t>
  </si>
  <si>
    <t>A0A2H0ZKN0/A0A2H0ZFA0/A0A2H0ZVK9/A0A2H1A0W6/A0A2H1A6S3/A0A2H1A7D4</t>
  </si>
  <si>
    <t>A0A2H0ZDA5/A0A2H0ZMR1/A0A2H0ZN20/A0A2H0ZY11/A0A2H0ZYK1/A0A2H1A2Z6/A0A2H1A8Q9</t>
  </si>
  <si>
    <t>map00360</t>
  </si>
  <si>
    <t>21/1903</t>
  </si>
  <si>
    <t>A0A2H0ZMS4/A0A2H0ZDF4/A0A2H0ZY11/A0A2H0ZYK1</t>
  </si>
  <si>
    <t>log10P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</si>
</sst>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22E7-83DB-4AD5-BA72-818EE7C9B7FB}">
  <dimension ref="A1:L26"/>
  <sheetViews>
    <sheetView workbookViewId="0">
      <selection activeCell="K1" sqref="K1"/>
    </sheetView>
  </sheetViews>
  <sheetFormatPr defaultRowHeight="13.8" x14ac:dyDescent="0.25"/>
  <cols>
    <col min="1" max="1" width="51.5546875" bestFit="1" customWidth="1"/>
  </cols>
  <sheetData>
    <row r="1" spans="1:12" x14ac:dyDescent="0.25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192</v>
      </c>
    </row>
    <row r="2" spans="1:12" x14ac:dyDescent="0.25">
      <c r="A2" t="s">
        <v>49</v>
      </c>
      <c r="B2" t="s">
        <v>49</v>
      </c>
      <c r="C2" t="s">
        <v>24</v>
      </c>
      <c r="D2" t="s">
        <v>50</v>
      </c>
      <c r="E2" t="s">
        <v>51</v>
      </c>
      <c r="F2" s="1">
        <v>5.4199999999999998E-6</v>
      </c>
      <c r="G2">
        <v>3.4661700000000002E-4</v>
      </c>
      <c r="H2">
        <v>3.4661700000000002E-4</v>
      </c>
      <c r="I2" t="s">
        <v>52</v>
      </c>
      <c r="J2">
        <v>13</v>
      </c>
      <c r="K2">
        <v>5.2663303250000002</v>
      </c>
      <c r="L2">
        <v>5.2663303250000002</v>
      </c>
    </row>
    <row r="3" spans="1:12" x14ac:dyDescent="0.25">
      <c r="A3" t="s">
        <v>53</v>
      </c>
      <c r="B3" t="s">
        <v>53</v>
      </c>
      <c r="C3" t="s">
        <v>22</v>
      </c>
      <c r="D3" t="s">
        <v>54</v>
      </c>
      <c r="E3" t="s">
        <v>55</v>
      </c>
      <c r="F3">
        <v>4.6902292999999998E-2</v>
      </c>
      <c r="G3">
        <v>0.88733911399999998</v>
      </c>
      <c r="H3">
        <v>0.88733911399999998</v>
      </c>
      <c r="I3" t="s">
        <v>56</v>
      </c>
      <c r="J3">
        <v>4</v>
      </c>
      <c r="K3">
        <v>1.3288059240000001</v>
      </c>
      <c r="L3">
        <v>1.3288059240000001</v>
      </c>
    </row>
    <row r="4" spans="1:12" x14ac:dyDescent="0.25">
      <c r="A4" t="s">
        <v>57</v>
      </c>
      <c r="B4" t="s">
        <v>57</v>
      </c>
      <c r="C4" t="s">
        <v>58</v>
      </c>
      <c r="D4" t="s">
        <v>59</v>
      </c>
      <c r="E4" t="s">
        <v>60</v>
      </c>
      <c r="F4">
        <v>5.3170580000000002E-2</v>
      </c>
      <c r="G4">
        <v>0.88733911399999998</v>
      </c>
      <c r="H4">
        <v>0.88733911399999998</v>
      </c>
      <c r="I4" t="s">
        <v>61</v>
      </c>
      <c r="J4">
        <v>7</v>
      </c>
      <c r="K4">
        <v>1.274328605</v>
      </c>
      <c r="L4">
        <v>1.274328605</v>
      </c>
    </row>
    <row r="5" spans="1:12" x14ac:dyDescent="0.25">
      <c r="A5" t="s">
        <v>62</v>
      </c>
      <c r="B5" t="s">
        <v>62</v>
      </c>
      <c r="C5" t="s">
        <v>2</v>
      </c>
      <c r="D5" t="s">
        <v>59</v>
      </c>
      <c r="E5" t="s">
        <v>63</v>
      </c>
      <c r="F5">
        <v>0.113423812</v>
      </c>
      <c r="G5">
        <v>0.88733911399999998</v>
      </c>
      <c r="H5">
        <v>0.88733911399999998</v>
      </c>
      <c r="I5" t="s">
        <v>64</v>
      </c>
      <c r="J5">
        <v>7</v>
      </c>
      <c r="K5">
        <v>0.94529576100000001</v>
      </c>
      <c r="L5">
        <v>0.94529576100000001</v>
      </c>
    </row>
    <row r="6" spans="1:12" x14ac:dyDescent="0.25">
      <c r="A6" t="s">
        <v>65</v>
      </c>
      <c r="B6" t="s">
        <v>65</v>
      </c>
      <c r="C6" t="s">
        <v>25</v>
      </c>
      <c r="D6" t="s">
        <v>66</v>
      </c>
      <c r="E6" t="s">
        <v>67</v>
      </c>
      <c r="F6">
        <v>0.115945645</v>
      </c>
      <c r="G6">
        <v>0.88733911399999998</v>
      </c>
      <c r="H6">
        <v>0.88733911399999998</v>
      </c>
      <c r="I6" t="s">
        <v>68</v>
      </c>
      <c r="J6">
        <v>6</v>
      </c>
      <c r="K6">
        <v>0.935745559</v>
      </c>
      <c r="L6">
        <v>0.935745559</v>
      </c>
    </row>
    <row r="7" spans="1:12" x14ac:dyDescent="0.25">
      <c r="A7" t="s">
        <v>69</v>
      </c>
      <c r="B7" t="s">
        <v>69</v>
      </c>
      <c r="C7" t="s">
        <v>26</v>
      </c>
      <c r="D7" t="s">
        <v>70</v>
      </c>
      <c r="E7" t="s">
        <v>71</v>
      </c>
      <c r="F7">
        <v>0.12874603900000001</v>
      </c>
      <c r="G7">
        <v>0.88733911399999998</v>
      </c>
      <c r="H7">
        <v>0.88733911399999998</v>
      </c>
      <c r="I7" t="s">
        <v>72</v>
      </c>
      <c r="J7">
        <v>2</v>
      </c>
      <c r="K7">
        <v>0.89026612400000005</v>
      </c>
      <c r="L7">
        <v>0.89026612400000005</v>
      </c>
    </row>
    <row r="8" spans="1:12" x14ac:dyDescent="0.25">
      <c r="A8" t="s">
        <v>73</v>
      </c>
      <c r="B8" t="s">
        <v>73</v>
      </c>
      <c r="C8" t="s">
        <v>27</v>
      </c>
      <c r="D8" t="s">
        <v>74</v>
      </c>
      <c r="E8" t="s">
        <v>75</v>
      </c>
      <c r="F8">
        <v>0.20142839800000001</v>
      </c>
      <c r="G8">
        <v>0.88733911399999998</v>
      </c>
      <c r="H8">
        <v>0.88733911399999998</v>
      </c>
      <c r="I8" t="s">
        <v>76</v>
      </c>
      <c r="J8">
        <v>3</v>
      </c>
      <c r="K8">
        <v>0.69587930099999995</v>
      </c>
      <c r="L8">
        <v>0.69587930099999995</v>
      </c>
    </row>
    <row r="9" spans="1:12" x14ac:dyDescent="0.25">
      <c r="A9" t="s">
        <v>77</v>
      </c>
      <c r="B9" t="s">
        <v>77</v>
      </c>
      <c r="C9" t="s">
        <v>28</v>
      </c>
      <c r="D9" t="s">
        <v>70</v>
      </c>
      <c r="E9" t="s">
        <v>78</v>
      </c>
      <c r="F9">
        <v>0.20421748000000001</v>
      </c>
      <c r="G9">
        <v>0.88733911399999998</v>
      </c>
      <c r="H9">
        <v>0.88733911399999998</v>
      </c>
      <c r="I9" t="s">
        <v>79</v>
      </c>
      <c r="J9">
        <v>2</v>
      </c>
      <c r="K9">
        <v>0.689907088</v>
      </c>
      <c r="L9">
        <v>0.689907088</v>
      </c>
    </row>
    <row r="10" spans="1:12" x14ac:dyDescent="0.25">
      <c r="A10" t="s">
        <v>80</v>
      </c>
      <c r="B10" t="s">
        <v>80</v>
      </c>
      <c r="C10" t="s">
        <v>29</v>
      </c>
      <c r="D10" t="s">
        <v>70</v>
      </c>
      <c r="E10" t="s">
        <v>81</v>
      </c>
      <c r="F10">
        <v>0.235704892</v>
      </c>
      <c r="G10">
        <v>0.88733911399999998</v>
      </c>
      <c r="H10">
        <v>0.88733911399999998</v>
      </c>
      <c r="I10" t="s">
        <v>82</v>
      </c>
      <c r="J10">
        <v>2</v>
      </c>
      <c r="K10">
        <v>0.62763140399999995</v>
      </c>
      <c r="L10">
        <v>0.62763140399999995</v>
      </c>
    </row>
    <row r="11" spans="1:12" x14ac:dyDescent="0.25">
      <c r="A11" t="s">
        <v>83</v>
      </c>
      <c r="B11" t="s">
        <v>83</v>
      </c>
      <c r="C11" t="s">
        <v>30</v>
      </c>
      <c r="D11" t="s">
        <v>70</v>
      </c>
      <c r="E11" t="s">
        <v>81</v>
      </c>
      <c r="F11">
        <v>0.235704892</v>
      </c>
      <c r="G11">
        <v>0.88733911399999998</v>
      </c>
      <c r="H11">
        <v>0.88733911399999998</v>
      </c>
      <c r="I11" t="s">
        <v>84</v>
      </c>
      <c r="J11">
        <v>2</v>
      </c>
      <c r="K11">
        <v>0.62763140399999995</v>
      </c>
      <c r="L11">
        <v>0.62763140399999995</v>
      </c>
    </row>
    <row r="12" spans="1:12" x14ac:dyDescent="0.25">
      <c r="A12" t="s">
        <v>85</v>
      </c>
      <c r="B12" t="s">
        <v>85</v>
      </c>
      <c r="C12" t="s">
        <v>31</v>
      </c>
      <c r="D12" t="s">
        <v>70</v>
      </c>
      <c r="E12" t="s">
        <v>86</v>
      </c>
      <c r="F12">
        <v>0.251565437</v>
      </c>
      <c r="G12">
        <v>0.88733911399999998</v>
      </c>
      <c r="H12">
        <v>0.88733911399999998</v>
      </c>
      <c r="I12" t="s">
        <v>87</v>
      </c>
      <c r="J12">
        <v>2</v>
      </c>
      <c r="K12">
        <v>0.59934902700000003</v>
      </c>
      <c r="L12">
        <v>0.59934902700000003</v>
      </c>
    </row>
    <row r="13" spans="1:12" x14ac:dyDescent="0.25">
      <c r="A13" t="s">
        <v>88</v>
      </c>
      <c r="B13" t="s">
        <v>88</v>
      </c>
      <c r="C13" t="s">
        <v>16</v>
      </c>
      <c r="D13" t="s">
        <v>59</v>
      </c>
      <c r="E13" t="s">
        <v>89</v>
      </c>
      <c r="F13">
        <v>0.25586984800000001</v>
      </c>
      <c r="G13">
        <v>0.88733911399999998</v>
      </c>
      <c r="H13">
        <v>0.88733911399999998</v>
      </c>
      <c r="I13" t="s">
        <v>90</v>
      </c>
      <c r="J13">
        <v>7</v>
      </c>
      <c r="K13">
        <v>0.59198088800000004</v>
      </c>
      <c r="L13">
        <v>0.59198088800000004</v>
      </c>
    </row>
    <row r="14" spans="1:12" x14ac:dyDescent="0.25">
      <c r="A14" t="s">
        <v>91</v>
      </c>
      <c r="B14" t="s">
        <v>91</v>
      </c>
      <c r="C14" t="s">
        <v>23</v>
      </c>
      <c r="D14" t="s">
        <v>74</v>
      </c>
      <c r="E14" t="s">
        <v>92</v>
      </c>
      <c r="F14">
        <v>0.25793791599999999</v>
      </c>
      <c r="G14">
        <v>0.88733911399999998</v>
      </c>
      <c r="H14">
        <v>0.88733911399999998</v>
      </c>
      <c r="I14" t="s">
        <v>93</v>
      </c>
      <c r="J14">
        <v>3</v>
      </c>
      <c r="K14">
        <v>0.58848481399999997</v>
      </c>
      <c r="L14">
        <v>0.58848481399999997</v>
      </c>
    </row>
    <row r="15" spans="1:12" x14ac:dyDescent="0.25">
      <c r="A15" t="s">
        <v>94</v>
      </c>
      <c r="B15" t="s">
        <v>94</v>
      </c>
      <c r="C15" t="s">
        <v>5</v>
      </c>
      <c r="D15" t="s">
        <v>70</v>
      </c>
      <c r="E15" t="s">
        <v>95</v>
      </c>
      <c r="F15">
        <v>0.315045403</v>
      </c>
      <c r="G15">
        <v>0.88733911399999998</v>
      </c>
      <c r="H15">
        <v>0.88733911399999998</v>
      </c>
      <c r="I15" t="s">
        <v>96</v>
      </c>
      <c r="J15">
        <v>2</v>
      </c>
      <c r="K15">
        <v>0.50162685399999996</v>
      </c>
      <c r="L15">
        <v>0.50162685399999996</v>
      </c>
    </row>
    <row r="16" spans="1:12" x14ac:dyDescent="0.25">
      <c r="A16" t="s">
        <v>97</v>
      </c>
      <c r="B16" t="s">
        <v>97</v>
      </c>
      <c r="C16" t="s">
        <v>32</v>
      </c>
      <c r="D16" t="s">
        <v>74</v>
      </c>
      <c r="E16" t="s">
        <v>98</v>
      </c>
      <c r="F16">
        <v>0.33989560899999999</v>
      </c>
      <c r="G16">
        <v>0.88733911399999998</v>
      </c>
      <c r="H16">
        <v>0.88733911399999998</v>
      </c>
      <c r="I16" t="s">
        <v>99</v>
      </c>
      <c r="J16">
        <v>3</v>
      </c>
      <c r="K16">
        <v>0.46865444699999997</v>
      </c>
      <c r="L16">
        <v>0.46865444699999997</v>
      </c>
    </row>
    <row r="17" spans="1:12" x14ac:dyDescent="0.25">
      <c r="A17" t="s">
        <v>100</v>
      </c>
      <c r="B17" t="s">
        <v>100</v>
      </c>
      <c r="C17" t="s">
        <v>11</v>
      </c>
      <c r="D17" t="s">
        <v>101</v>
      </c>
      <c r="E17" t="s">
        <v>102</v>
      </c>
      <c r="F17">
        <v>0.34983049999999999</v>
      </c>
      <c r="G17">
        <v>0.88733911399999998</v>
      </c>
      <c r="H17">
        <v>0.88733911399999998</v>
      </c>
      <c r="I17" t="s">
        <v>103</v>
      </c>
      <c r="J17">
        <v>1</v>
      </c>
      <c r="K17">
        <v>0.45614232900000001</v>
      </c>
      <c r="L17">
        <v>0.45614232900000001</v>
      </c>
    </row>
    <row r="18" spans="1:12" x14ac:dyDescent="0.25">
      <c r="A18" t="s">
        <v>104</v>
      </c>
      <c r="B18" t="s">
        <v>104</v>
      </c>
      <c r="C18" t="s">
        <v>33</v>
      </c>
      <c r="D18" t="s">
        <v>101</v>
      </c>
      <c r="E18" t="s">
        <v>102</v>
      </c>
      <c r="F18">
        <v>0.34983049999999999</v>
      </c>
      <c r="G18">
        <v>0.88733911399999998</v>
      </c>
      <c r="H18">
        <v>0.88733911399999998</v>
      </c>
      <c r="I18" t="s">
        <v>105</v>
      </c>
      <c r="J18">
        <v>1</v>
      </c>
      <c r="K18">
        <v>0.45614232900000001</v>
      </c>
      <c r="L18">
        <v>0.45614232900000001</v>
      </c>
    </row>
    <row r="19" spans="1:12" x14ac:dyDescent="0.25">
      <c r="A19" t="s">
        <v>106</v>
      </c>
      <c r="B19" t="s">
        <v>106</v>
      </c>
      <c r="C19" t="s">
        <v>34</v>
      </c>
      <c r="D19" t="s">
        <v>54</v>
      </c>
      <c r="E19" t="s">
        <v>107</v>
      </c>
      <c r="F19">
        <v>0.35877467200000002</v>
      </c>
      <c r="G19">
        <v>0.88733911399999998</v>
      </c>
      <c r="H19">
        <v>0.88733911399999998</v>
      </c>
      <c r="I19" t="s">
        <v>108</v>
      </c>
      <c r="J19">
        <v>4</v>
      </c>
      <c r="K19">
        <v>0.44517822299999998</v>
      </c>
      <c r="L19">
        <v>0.44517822299999998</v>
      </c>
    </row>
    <row r="20" spans="1:12" x14ac:dyDescent="0.25">
      <c r="A20" t="s">
        <v>109</v>
      </c>
      <c r="B20" t="s">
        <v>109</v>
      </c>
      <c r="C20" t="s">
        <v>0</v>
      </c>
      <c r="D20" t="s">
        <v>54</v>
      </c>
      <c r="E20" t="s">
        <v>51</v>
      </c>
      <c r="F20">
        <v>0.368582674</v>
      </c>
      <c r="G20">
        <v>0.88733911399999998</v>
      </c>
      <c r="H20">
        <v>0.88733911399999998</v>
      </c>
      <c r="I20" t="s">
        <v>110</v>
      </c>
      <c r="J20">
        <v>4</v>
      </c>
      <c r="K20">
        <v>0.43346508299999997</v>
      </c>
      <c r="L20">
        <v>0.43346508299999997</v>
      </c>
    </row>
    <row r="21" spans="1:12" x14ac:dyDescent="0.25">
      <c r="A21" t="s">
        <v>111</v>
      </c>
      <c r="B21" t="s">
        <v>111</v>
      </c>
      <c r="C21" t="s">
        <v>35</v>
      </c>
      <c r="D21" t="s">
        <v>101</v>
      </c>
      <c r="E21" t="s">
        <v>112</v>
      </c>
      <c r="F21">
        <v>0.37730728899999999</v>
      </c>
      <c r="G21">
        <v>0.88733911399999998</v>
      </c>
      <c r="H21">
        <v>0.88733911399999998</v>
      </c>
      <c r="I21" t="s">
        <v>113</v>
      </c>
      <c r="J21">
        <v>1</v>
      </c>
      <c r="K21">
        <v>0.42330480500000001</v>
      </c>
      <c r="L21">
        <v>0.42330480500000001</v>
      </c>
    </row>
    <row r="22" spans="1:12" x14ac:dyDescent="0.25">
      <c r="A22" t="s">
        <v>114</v>
      </c>
      <c r="B22" t="s">
        <v>114</v>
      </c>
      <c r="C22" t="s">
        <v>36</v>
      </c>
      <c r="D22" t="s">
        <v>70</v>
      </c>
      <c r="E22" t="s">
        <v>115</v>
      </c>
      <c r="F22">
        <v>0.39262222299999999</v>
      </c>
      <c r="G22">
        <v>0.88733911399999998</v>
      </c>
      <c r="H22">
        <v>0.88733911399999998</v>
      </c>
      <c r="I22" t="s">
        <v>116</v>
      </c>
      <c r="J22">
        <v>2</v>
      </c>
      <c r="K22">
        <v>0.40602512200000002</v>
      </c>
      <c r="L22">
        <v>0.40602512200000002</v>
      </c>
    </row>
    <row r="23" spans="1:12" x14ac:dyDescent="0.25">
      <c r="A23" t="s">
        <v>117</v>
      </c>
      <c r="B23" t="s">
        <v>117</v>
      </c>
      <c r="C23" t="s">
        <v>18</v>
      </c>
      <c r="D23" t="s">
        <v>101</v>
      </c>
      <c r="E23" t="s">
        <v>118</v>
      </c>
      <c r="F23">
        <v>0.40363679000000002</v>
      </c>
      <c r="G23">
        <v>0.88733911399999998</v>
      </c>
      <c r="H23">
        <v>0.88733911399999998</v>
      </c>
      <c r="I23" t="s">
        <v>119</v>
      </c>
      <c r="J23">
        <v>1</v>
      </c>
      <c r="K23">
        <v>0.39400925599999997</v>
      </c>
      <c r="L23">
        <v>0.39400925599999997</v>
      </c>
    </row>
    <row r="24" spans="1:12" x14ac:dyDescent="0.25">
      <c r="A24" t="s">
        <v>120</v>
      </c>
      <c r="B24" t="s">
        <v>120</v>
      </c>
      <c r="C24" t="s">
        <v>37</v>
      </c>
      <c r="D24" t="s">
        <v>101</v>
      </c>
      <c r="E24" t="s">
        <v>118</v>
      </c>
      <c r="F24">
        <v>0.40363679000000002</v>
      </c>
      <c r="G24">
        <v>0.88733911399999998</v>
      </c>
      <c r="H24">
        <v>0.88733911399999998</v>
      </c>
      <c r="I24" t="s">
        <v>121</v>
      </c>
      <c r="J24">
        <v>1</v>
      </c>
      <c r="K24">
        <v>0.39400925599999997</v>
      </c>
      <c r="L24">
        <v>0.39400925599999997</v>
      </c>
    </row>
    <row r="25" spans="1:12" x14ac:dyDescent="0.25">
      <c r="A25" t="s">
        <v>122</v>
      </c>
      <c r="B25" t="s">
        <v>122</v>
      </c>
      <c r="C25" t="s">
        <v>1</v>
      </c>
      <c r="D25" t="s">
        <v>70</v>
      </c>
      <c r="E25" t="s">
        <v>55</v>
      </c>
      <c r="F25">
        <v>0.40770784700000001</v>
      </c>
      <c r="G25">
        <v>0.88733911399999998</v>
      </c>
      <c r="H25">
        <v>0.88733911399999998</v>
      </c>
      <c r="I25" t="s">
        <v>123</v>
      </c>
      <c r="J25">
        <v>2</v>
      </c>
      <c r="K25">
        <v>0.38965093000000001</v>
      </c>
      <c r="L25">
        <v>0.38965093000000001</v>
      </c>
    </row>
    <row r="26" spans="1:12" x14ac:dyDescent="0.25">
      <c r="A26" t="s">
        <v>124</v>
      </c>
      <c r="B26" t="s">
        <v>124</v>
      </c>
      <c r="C26" t="s">
        <v>38</v>
      </c>
      <c r="D26" t="s">
        <v>70</v>
      </c>
      <c r="E26" t="s">
        <v>55</v>
      </c>
      <c r="F26">
        <v>0.40770784700000001</v>
      </c>
      <c r="G26">
        <v>0.88733911399999998</v>
      </c>
      <c r="H26">
        <v>0.88733911399999998</v>
      </c>
      <c r="I26" t="s">
        <v>125</v>
      </c>
      <c r="J26">
        <v>2</v>
      </c>
      <c r="K26">
        <v>0.38965093000000001</v>
      </c>
      <c r="L26">
        <v>0.38965093000000001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864B-667D-4FB4-8162-880982AAF8F8}">
  <dimension ref="A1:AL26"/>
  <sheetViews>
    <sheetView tabSelected="1" workbookViewId="0">
      <selection activeCell="J19" sqref="J19"/>
    </sheetView>
  </sheetViews>
  <sheetFormatPr defaultRowHeight="13.8" x14ac:dyDescent="0.25"/>
  <cols>
    <col min="1" max="1" width="51.5546875" bestFit="1" customWidth="1"/>
    <col min="2" max="2" width="12.77734375" bestFit="1" customWidth="1"/>
    <col min="3" max="3" width="9.109375" bestFit="1" customWidth="1"/>
  </cols>
  <sheetData>
    <row r="1" spans="1:38" x14ac:dyDescent="0.25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192</v>
      </c>
    </row>
    <row r="2" spans="1:38" x14ac:dyDescent="0.25">
      <c r="A2" t="s">
        <v>109</v>
      </c>
      <c r="B2" t="s">
        <v>109</v>
      </c>
      <c r="C2" t="s">
        <v>0</v>
      </c>
      <c r="D2" t="s">
        <v>126</v>
      </c>
      <c r="E2" t="s">
        <v>51</v>
      </c>
      <c r="F2" s="1">
        <v>2.3071826808352998E-6</v>
      </c>
      <c r="G2">
        <v>2.0072489323267101E-4</v>
      </c>
      <c r="H2">
        <v>1.96717681208062E-4</v>
      </c>
      <c r="I2" t="s">
        <v>127</v>
      </c>
      <c r="J2">
        <v>24</v>
      </c>
      <c r="K2">
        <f>-LOG10(F2)</f>
        <v>5.6369180170360336</v>
      </c>
      <c r="L2">
        <v>5.6369180170360336</v>
      </c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21</v>
      </c>
      <c r="AJ2" t="s">
        <v>22</v>
      </c>
      <c r="AK2" t="s">
        <v>23</v>
      </c>
      <c r="AL2" t="s">
        <v>39</v>
      </c>
    </row>
    <row r="3" spans="1:38" x14ac:dyDescent="0.25">
      <c r="A3" t="s">
        <v>122</v>
      </c>
      <c r="B3" t="s">
        <v>122</v>
      </c>
      <c r="C3" t="s">
        <v>1</v>
      </c>
      <c r="D3" t="s">
        <v>128</v>
      </c>
      <c r="E3" t="s">
        <v>55</v>
      </c>
      <c r="F3">
        <v>4.7374640879088003E-3</v>
      </c>
      <c r="G3">
        <v>0.18731318240831599</v>
      </c>
      <c r="H3">
        <v>0.18357371778673401</v>
      </c>
      <c r="I3" t="s">
        <v>129</v>
      </c>
      <c r="J3">
        <v>10</v>
      </c>
      <c r="K3">
        <f t="shared" ref="K3:K26" si="0">-LOG10(F3)</f>
        <v>2.3244540691573077</v>
      </c>
      <c r="L3">
        <v>2.3244540691573077</v>
      </c>
      <c r="N3">
        <v>5.6369180170360336</v>
      </c>
      <c r="O3">
        <v>2.3244540691573077</v>
      </c>
      <c r="P3">
        <v>2.1898296554103642</v>
      </c>
      <c r="Q3">
        <v>1.8609681846653521</v>
      </c>
      <c r="R3">
        <v>1.5110000921388211</v>
      </c>
      <c r="S3">
        <v>1.3939685339235552</v>
      </c>
      <c r="T3">
        <v>1.1701052395210594</v>
      </c>
      <c r="U3">
        <v>1.1681294802097617</v>
      </c>
      <c r="V3">
        <v>1.1262096692410906</v>
      </c>
      <c r="W3">
        <v>1.045250566375842</v>
      </c>
      <c r="X3">
        <v>1.045250566375842</v>
      </c>
      <c r="Y3">
        <v>0.93676564616397062</v>
      </c>
      <c r="Z3">
        <v>0.91499094442164042</v>
      </c>
      <c r="AA3">
        <v>0.83948666147279527</v>
      </c>
      <c r="AB3">
        <v>0.83369954003372149</v>
      </c>
      <c r="AC3">
        <v>0.8063485952493884</v>
      </c>
      <c r="AD3">
        <v>0.76233371689609175</v>
      </c>
      <c r="AE3">
        <v>0.76082282368656518</v>
      </c>
      <c r="AF3">
        <v>0.75248234093086608</v>
      </c>
      <c r="AG3">
        <v>0.71098625432317308</v>
      </c>
      <c r="AH3">
        <v>0.69948444981284386</v>
      </c>
      <c r="AI3">
        <v>0.67571033056441265</v>
      </c>
      <c r="AJ3">
        <v>0.66768114834480974</v>
      </c>
      <c r="AK3">
        <v>0.59295818439282277</v>
      </c>
      <c r="AL3">
        <v>0.59265408552782051</v>
      </c>
    </row>
    <row r="4" spans="1:38" x14ac:dyDescent="0.25">
      <c r="A4" t="s">
        <v>62</v>
      </c>
      <c r="B4" t="s">
        <v>62</v>
      </c>
      <c r="C4" t="s">
        <v>2</v>
      </c>
      <c r="D4" t="s">
        <v>130</v>
      </c>
      <c r="E4" t="s">
        <v>63</v>
      </c>
      <c r="F4">
        <v>6.4590752554591702E-3</v>
      </c>
      <c r="G4">
        <v>0.18731318240831599</v>
      </c>
      <c r="H4">
        <v>0.18357371778673401</v>
      </c>
      <c r="I4" t="s">
        <v>131</v>
      </c>
      <c r="J4">
        <v>21</v>
      </c>
      <c r="K4">
        <f t="shared" si="0"/>
        <v>2.1898296554103642</v>
      </c>
      <c r="L4">
        <v>2.1898296554103642</v>
      </c>
    </row>
    <row r="5" spans="1:38" x14ac:dyDescent="0.25">
      <c r="A5" t="s">
        <v>132</v>
      </c>
      <c r="B5" t="s">
        <v>132</v>
      </c>
      <c r="C5" t="s">
        <v>3</v>
      </c>
      <c r="D5" t="s">
        <v>133</v>
      </c>
      <c r="E5" t="s">
        <v>134</v>
      </c>
      <c r="F5">
        <v>1.37731036353327E-2</v>
      </c>
      <c r="G5">
        <v>0.29956500406848702</v>
      </c>
      <c r="H5">
        <v>0.29358457748998701</v>
      </c>
      <c r="I5" t="s">
        <v>135</v>
      </c>
      <c r="J5">
        <v>22</v>
      </c>
      <c r="K5">
        <f t="shared" si="0"/>
        <v>1.8609681846653521</v>
      </c>
      <c r="L5">
        <v>1.8609681846653521</v>
      </c>
    </row>
    <row r="6" spans="1:38" x14ac:dyDescent="0.25">
      <c r="A6" t="s">
        <v>136</v>
      </c>
      <c r="B6" t="s">
        <v>136</v>
      </c>
      <c r="C6" t="s">
        <v>4</v>
      </c>
      <c r="D6" t="s">
        <v>137</v>
      </c>
      <c r="E6" t="s">
        <v>138</v>
      </c>
      <c r="F6">
        <v>3.0831872961280499E-2</v>
      </c>
      <c r="G6">
        <v>0.53647458952628102</v>
      </c>
      <c r="H6">
        <v>0.52576457049762604</v>
      </c>
      <c r="I6" t="s">
        <v>139</v>
      </c>
      <c r="J6">
        <v>52</v>
      </c>
      <c r="K6">
        <f t="shared" si="0"/>
        <v>1.5110000921388211</v>
      </c>
      <c r="L6">
        <v>1.5110000921388211</v>
      </c>
    </row>
    <row r="7" spans="1:38" x14ac:dyDescent="0.25">
      <c r="A7" t="s">
        <v>94</v>
      </c>
      <c r="B7" t="s">
        <v>94</v>
      </c>
      <c r="C7" t="s">
        <v>5</v>
      </c>
      <c r="D7" t="s">
        <v>140</v>
      </c>
      <c r="E7" t="s">
        <v>95</v>
      </c>
      <c r="F7">
        <v>4.0367463947533599E-2</v>
      </c>
      <c r="G7">
        <v>0.58532822723923705</v>
      </c>
      <c r="H7">
        <v>0.57364290872810897</v>
      </c>
      <c r="I7" t="s">
        <v>141</v>
      </c>
      <c r="J7">
        <v>7</v>
      </c>
      <c r="K7">
        <f t="shared" si="0"/>
        <v>1.3939685339235552</v>
      </c>
      <c r="L7">
        <v>1.3939685339235552</v>
      </c>
    </row>
    <row r="8" spans="1:38" x14ac:dyDescent="0.25">
      <c r="A8" t="s">
        <v>142</v>
      </c>
      <c r="B8" t="s">
        <v>142</v>
      </c>
      <c r="C8" t="s">
        <v>6</v>
      </c>
      <c r="D8" t="s">
        <v>143</v>
      </c>
      <c r="E8" t="s">
        <v>144</v>
      </c>
      <c r="F8">
        <v>6.7591916481766004E-2</v>
      </c>
      <c r="G8">
        <v>0.71264952676970905</v>
      </c>
      <c r="H8">
        <v>0.69842240373074904</v>
      </c>
      <c r="I8" t="s">
        <v>145</v>
      </c>
      <c r="J8">
        <v>13</v>
      </c>
      <c r="K8">
        <f t="shared" si="0"/>
        <v>1.1701052395210594</v>
      </c>
      <c r="L8">
        <v>1.1701052395210594</v>
      </c>
    </row>
    <row r="9" spans="1:38" x14ac:dyDescent="0.25">
      <c r="A9" t="s">
        <v>146</v>
      </c>
      <c r="B9" t="s">
        <v>146</v>
      </c>
      <c r="C9" t="s">
        <v>7</v>
      </c>
      <c r="D9" t="s">
        <v>147</v>
      </c>
      <c r="E9" t="s">
        <v>148</v>
      </c>
      <c r="F9">
        <v>6.79001165572133E-2</v>
      </c>
      <c r="G9">
        <v>0.71264952676970905</v>
      </c>
      <c r="H9">
        <v>0.69842240373074904</v>
      </c>
      <c r="I9" t="s">
        <v>149</v>
      </c>
      <c r="J9">
        <v>11</v>
      </c>
      <c r="K9">
        <f t="shared" si="0"/>
        <v>1.1681294802097617</v>
      </c>
      <c r="L9">
        <v>1.1681294802097617</v>
      </c>
    </row>
    <row r="10" spans="1:38" x14ac:dyDescent="0.25">
      <c r="A10" t="s">
        <v>150</v>
      </c>
      <c r="B10" t="s">
        <v>150</v>
      </c>
      <c r="C10" t="s">
        <v>8</v>
      </c>
      <c r="D10" t="s">
        <v>151</v>
      </c>
      <c r="E10" t="s">
        <v>152</v>
      </c>
      <c r="F10">
        <v>7.4780838546707806E-2</v>
      </c>
      <c r="G10">
        <v>0.71264952676970905</v>
      </c>
      <c r="H10">
        <v>0.69842240373074904</v>
      </c>
      <c r="I10" t="s">
        <v>153</v>
      </c>
      <c r="J10">
        <v>5</v>
      </c>
      <c r="K10">
        <f t="shared" si="0"/>
        <v>1.1262096692410906</v>
      </c>
      <c r="L10">
        <v>1.1262096692410906</v>
      </c>
    </row>
    <row r="11" spans="1:38" x14ac:dyDescent="0.25">
      <c r="A11" t="s">
        <v>154</v>
      </c>
      <c r="B11" t="s">
        <v>154</v>
      </c>
      <c r="C11" t="s">
        <v>9</v>
      </c>
      <c r="D11" t="s">
        <v>151</v>
      </c>
      <c r="E11" t="s">
        <v>78</v>
      </c>
      <c r="F11">
        <v>9.0105112580078098E-2</v>
      </c>
      <c r="G11">
        <v>0.71264952676970905</v>
      </c>
      <c r="H11">
        <v>0.69842240373074904</v>
      </c>
      <c r="I11" t="s">
        <v>155</v>
      </c>
      <c r="J11">
        <v>5</v>
      </c>
      <c r="K11">
        <f t="shared" si="0"/>
        <v>1.045250566375842</v>
      </c>
      <c r="L11">
        <v>1.045250566375842</v>
      </c>
    </row>
    <row r="12" spans="1:38" x14ac:dyDescent="0.25">
      <c r="A12" t="s">
        <v>156</v>
      </c>
      <c r="B12" t="s">
        <v>156</v>
      </c>
      <c r="C12" t="s">
        <v>10</v>
      </c>
      <c r="D12" t="s">
        <v>151</v>
      </c>
      <c r="E12" t="s">
        <v>78</v>
      </c>
      <c r="F12">
        <v>9.0105112580078098E-2</v>
      </c>
      <c r="G12">
        <v>0.71264952676970905</v>
      </c>
      <c r="H12">
        <v>0.69842240373074904</v>
      </c>
      <c r="I12" t="s">
        <v>157</v>
      </c>
      <c r="J12">
        <v>5</v>
      </c>
      <c r="K12">
        <f t="shared" si="0"/>
        <v>1.045250566375842</v>
      </c>
      <c r="L12">
        <v>1.045250566375842</v>
      </c>
    </row>
    <row r="13" spans="1:38" x14ac:dyDescent="0.25">
      <c r="A13" t="s">
        <v>100</v>
      </c>
      <c r="B13" t="s">
        <v>100</v>
      </c>
      <c r="C13" t="s">
        <v>11</v>
      </c>
      <c r="D13" t="s">
        <v>158</v>
      </c>
      <c r="E13" t="s">
        <v>102</v>
      </c>
      <c r="F13">
        <v>0.11567362714288899</v>
      </c>
      <c r="G13">
        <v>0.80962388271707497</v>
      </c>
      <c r="H13">
        <v>0.79346079249949297</v>
      </c>
      <c r="I13" t="s">
        <v>159</v>
      </c>
      <c r="J13">
        <v>3</v>
      </c>
      <c r="K13">
        <f t="shared" si="0"/>
        <v>0.93676564616397062</v>
      </c>
      <c r="L13">
        <v>0.93676564616397062</v>
      </c>
    </row>
    <row r="14" spans="1:38" x14ac:dyDescent="0.25">
      <c r="A14" t="s">
        <v>160</v>
      </c>
      <c r="B14" t="s">
        <v>160</v>
      </c>
      <c r="C14" t="s">
        <v>12</v>
      </c>
      <c r="D14" t="s">
        <v>161</v>
      </c>
      <c r="E14" t="s">
        <v>162</v>
      </c>
      <c r="F14">
        <v>0.121621135989662</v>
      </c>
      <c r="G14">
        <v>0.80962388271707497</v>
      </c>
      <c r="H14">
        <v>0.79346079249949297</v>
      </c>
      <c r="I14" t="s">
        <v>163</v>
      </c>
      <c r="J14">
        <v>6</v>
      </c>
      <c r="K14">
        <f t="shared" si="0"/>
        <v>0.91499094442164042</v>
      </c>
      <c r="L14">
        <v>0.91499094442164042</v>
      </c>
    </row>
    <row r="15" spans="1:38" x14ac:dyDescent="0.25">
      <c r="A15" t="s">
        <v>164</v>
      </c>
      <c r="B15" t="s">
        <v>164</v>
      </c>
      <c r="C15" t="s">
        <v>13</v>
      </c>
      <c r="D15" t="s">
        <v>151</v>
      </c>
      <c r="E15" t="s">
        <v>86</v>
      </c>
      <c r="F15">
        <v>0.14471492988446999</v>
      </c>
      <c r="G15">
        <v>0.80962388271707497</v>
      </c>
      <c r="H15">
        <v>0.79346079249949297</v>
      </c>
      <c r="I15" t="s">
        <v>165</v>
      </c>
      <c r="J15">
        <v>5</v>
      </c>
      <c r="K15">
        <f t="shared" si="0"/>
        <v>0.83948666147279527</v>
      </c>
      <c r="L15">
        <v>0.83948666147279527</v>
      </c>
    </row>
    <row r="16" spans="1:38" x14ac:dyDescent="0.25">
      <c r="A16" t="s">
        <v>166</v>
      </c>
      <c r="B16" t="s">
        <v>166</v>
      </c>
      <c r="C16" t="s">
        <v>14</v>
      </c>
      <c r="D16" t="s">
        <v>140</v>
      </c>
      <c r="E16" t="s">
        <v>167</v>
      </c>
      <c r="F16">
        <v>0.14665621085302399</v>
      </c>
      <c r="G16">
        <v>0.80962388271707497</v>
      </c>
      <c r="H16">
        <v>0.79346079249949297</v>
      </c>
      <c r="I16" t="s">
        <v>168</v>
      </c>
      <c r="J16">
        <v>7</v>
      </c>
      <c r="K16">
        <f t="shared" si="0"/>
        <v>0.83369954003372149</v>
      </c>
      <c r="L16">
        <v>0.83369954003372149</v>
      </c>
    </row>
    <row r="17" spans="1:12" x14ac:dyDescent="0.25">
      <c r="A17" t="s">
        <v>169</v>
      </c>
      <c r="B17" t="s">
        <v>169</v>
      </c>
      <c r="C17" t="s">
        <v>15</v>
      </c>
      <c r="D17" t="s">
        <v>161</v>
      </c>
      <c r="E17" t="s">
        <v>170</v>
      </c>
      <c r="F17">
        <v>0.15618934539886301</v>
      </c>
      <c r="G17">
        <v>0.80962388271707497</v>
      </c>
      <c r="H17">
        <v>0.79346079249949297</v>
      </c>
      <c r="I17" t="s">
        <v>171</v>
      </c>
      <c r="J17">
        <v>6</v>
      </c>
      <c r="K17">
        <f t="shared" si="0"/>
        <v>0.8063485952493884</v>
      </c>
      <c r="L17">
        <v>0.8063485952493884</v>
      </c>
    </row>
    <row r="18" spans="1:12" x14ac:dyDescent="0.25">
      <c r="A18" t="s">
        <v>88</v>
      </c>
      <c r="B18" t="s">
        <v>88</v>
      </c>
      <c r="C18" t="s">
        <v>16</v>
      </c>
      <c r="D18" t="s">
        <v>172</v>
      </c>
      <c r="E18" t="s">
        <v>89</v>
      </c>
      <c r="F18">
        <v>0.172848765890463</v>
      </c>
      <c r="G18">
        <v>0.80962388271707497</v>
      </c>
      <c r="H18">
        <v>0.79346079249949297</v>
      </c>
      <c r="I18" t="s">
        <v>173</v>
      </c>
      <c r="J18">
        <v>19</v>
      </c>
      <c r="K18">
        <f t="shared" si="0"/>
        <v>0.76233371689609175</v>
      </c>
      <c r="L18">
        <v>0.76233371689609175</v>
      </c>
    </row>
    <row r="19" spans="1:12" x14ac:dyDescent="0.25">
      <c r="A19" t="s">
        <v>174</v>
      </c>
      <c r="B19" t="s">
        <v>174</v>
      </c>
      <c r="C19" t="s">
        <v>17</v>
      </c>
      <c r="D19" t="s">
        <v>175</v>
      </c>
      <c r="E19" t="s">
        <v>176</v>
      </c>
      <c r="F19">
        <v>0.17345114708693199</v>
      </c>
      <c r="G19">
        <v>0.80962388271707497</v>
      </c>
      <c r="H19">
        <v>0.79346079249949297</v>
      </c>
      <c r="I19" t="s">
        <v>177</v>
      </c>
      <c r="J19">
        <v>4</v>
      </c>
      <c r="K19">
        <f t="shared" si="0"/>
        <v>0.76082282368656518</v>
      </c>
      <c r="L19">
        <v>0.76082282368656518</v>
      </c>
    </row>
    <row r="20" spans="1:12" x14ac:dyDescent="0.25">
      <c r="A20" t="s">
        <v>117</v>
      </c>
      <c r="B20" t="s">
        <v>117</v>
      </c>
      <c r="C20" t="s">
        <v>18</v>
      </c>
      <c r="D20" t="s">
        <v>158</v>
      </c>
      <c r="E20" t="s">
        <v>118</v>
      </c>
      <c r="F20">
        <v>0.17681441116809701</v>
      </c>
      <c r="G20">
        <v>0.80962388271707497</v>
      </c>
      <c r="H20">
        <v>0.79346079249949297</v>
      </c>
      <c r="I20" t="s">
        <v>178</v>
      </c>
      <c r="J20">
        <v>3</v>
      </c>
      <c r="K20">
        <f t="shared" si="0"/>
        <v>0.75248234093086608</v>
      </c>
      <c r="L20">
        <v>0.75248234093086608</v>
      </c>
    </row>
    <row r="21" spans="1:12" x14ac:dyDescent="0.25">
      <c r="A21" t="s">
        <v>179</v>
      </c>
      <c r="B21" t="s">
        <v>179</v>
      </c>
      <c r="C21" t="s">
        <v>19</v>
      </c>
      <c r="D21" t="s">
        <v>161</v>
      </c>
      <c r="E21" t="s">
        <v>115</v>
      </c>
      <c r="F21">
        <v>0.19454216543924899</v>
      </c>
      <c r="G21">
        <v>0.81303692169504305</v>
      </c>
      <c r="H21">
        <v>0.79680569458316297</v>
      </c>
      <c r="I21" t="s">
        <v>180</v>
      </c>
      <c r="J21">
        <v>6</v>
      </c>
      <c r="K21">
        <f t="shared" si="0"/>
        <v>0.71098625432317308</v>
      </c>
      <c r="L21">
        <v>0.71098625432317308</v>
      </c>
    </row>
    <row r="22" spans="1:12" x14ac:dyDescent="0.25">
      <c r="A22" t="s">
        <v>181</v>
      </c>
      <c r="B22" t="s">
        <v>181</v>
      </c>
      <c r="C22" t="s">
        <v>20</v>
      </c>
      <c r="D22" t="s">
        <v>175</v>
      </c>
      <c r="E22" t="s">
        <v>152</v>
      </c>
      <c r="F22">
        <v>0.199763229364326</v>
      </c>
      <c r="G22">
        <v>0.81303692169504305</v>
      </c>
      <c r="H22">
        <v>0.79680569458316297</v>
      </c>
      <c r="I22" t="s">
        <v>182</v>
      </c>
      <c r="J22">
        <v>4</v>
      </c>
      <c r="K22">
        <f t="shared" si="0"/>
        <v>0.69948444981284386</v>
      </c>
      <c r="L22">
        <v>0.69948444981284386</v>
      </c>
    </row>
    <row r="23" spans="1:12" x14ac:dyDescent="0.25">
      <c r="A23" t="s">
        <v>183</v>
      </c>
      <c r="B23" t="s">
        <v>183</v>
      </c>
      <c r="C23" t="s">
        <v>21</v>
      </c>
      <c r="D23" t="s">
        <v>184</v>
      </c>
      <c r="E23" t="s">
        <v>185</v>
      </c>
      <c r="F23">
        <v>0.211003504985216</v>
      </c>
      <c r="G23">
        <v>0.81303692169504305</v>
      </c>
      <c r="H23">
        <v>0.79680569458316297</v>
      </c>
      <c r="I23" t="s">
        <v>186</v>
      </c>
      <c r="J23">
        <v>17</v>
      </c>
      <c r="K23">
        <f t="shared" si="0"/>
        <v>0.67571033056441265</v>
      </c>
      <c r="L23">
        <v>0.67571033056441265</v>
      </c>
    </row>
    <row r="24" spans="1:12" x14ac:dyDescent="0.25">
      <c r="A24" t="s">
        <v>53</v>
      </c>
      <c r="B24" t="s">
        <v>53</v>
      </c>
      <c r="C24" t="s">
        <v>22</v>
      </c>
      <c r="D24" t="s">
        <v>161</v>
      </c>
      <c r="E24" t="s">
        <v>55</v>
      </c>
      <c r="F24">
        <v>0.21494079539064401</v>
      </c>
      <c r="G24">
        <v>0.81303692169504305</v>
      </c>
      <c r="H24">
        <v>0.79680569458316297</v>
      </c>
      <c r="I24" t="s">
        <v>187</v>
      </c>
      <c r="J24">
        <v>6</v>
      </c>
      <c r="K24">
        <f t="shared" si="0"/>
        <v>0.66768114834480974</v>
      </c>
      <c r="L24">
        <v>0.66768114834480974</v>
      </c>
    </row>
    <row r="25" spans="1:12" x14ac:dyDescent="0.25">
      <c r="A25" t="s">
        <v>91</v>
      </c>
      <c r="B25" t="s">
        <v>91</v>
      </c>
      <c r="C25" t="s">
        <v>23</v>
      </c>
      <c r="D25" t="s">
        <v>140</v>
      </c>
      <c r="E25" t="s">
        <v>92</v>
      </c>
      <c r="F25">
        <v>0.255294709877042</v>
      </c>
      <c r="G25">
        <v>0.86244414452599405</v>
      </c>
      <c r="H25">
        <v>0.84522656632311599</v>
      </c>
      <c r="I25" t="s">
        <v>188</v>
      </c>
      <c r="J25">
        <v>7</v>
      </c>
      <c r="K25">
        <f t="shared" si="0"/>
        <v>0.59295818439282277</v>
      </c>
      <c r="L25">
        <v>0.59295818439282277</v>
      </c>
    </row>
    <row r="26" spans="1:12" x14ac:dyDescent="0.25">
      <c r="A26" t="s">
        <v>189</v>
      </c>
      <c r="B26" t="s">
        <v>189</v>
      </c>
      <c r="C26" t="s">
        <v>39</v>
      </c>
      <c r="D26" t="s">
        <v>175</v>
      </c>
      <c r="E26" t="s">
        <v>190</v>
      </c>
      <c r="F26">
        <v>0.25547353328276101</v>
      </c>
      <c r="G26">
        <v>0.86244414452599405</v>
      </c>
      <c r="H26">
        <v>0.84522656632311599</v>
      </c>
      <c r="I26" t="s">
        <v>191</v>
      </c>
      <c r="J26">
        <v>4</v>
      </c>
      <c r="K26">
        <f t="shared" si="0"/>
        <v>0.59265408552782051</v>
      </c>
      <c r="L26">
        <v>0.59265408552782051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2C</vt:lpstr>
      <vt:lpstr>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18249</dc:creator>
  <cp:lastModifiedBy>18249</cp:lastModifiedBy>
  <dcterms:created xsi:type="dcterms:W3CDTF">2021-08-09T02:24:36Z</dcterms:created>
  <dcterms:modified xsi:type="dcterms:W3CDTF">2022-02-20T14:59:42Z</dcterms:modified>
</cp:coreProperties>
</file>