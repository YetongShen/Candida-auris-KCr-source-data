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ilongli/Desktop/"/>
    </mc:Choice>
  </mc:AlternateContent>
  <xr:revisionPtr revIDLastSave="0" documentId="13_ncr:1_{21AD983F-AD26-3646-974D-4586987B4BE1}" xr6:coauthVersionLast="43" xr6:coauthVersionMax="43" xr10:uidLastSave="{00000000-0000-0000-0000-000000000000}"/>
  <bookViews>
    <workbookView xWindow="13820" yWindow="500" windowWidth="14980" windowHeight="15800" xr2:uid="{00000000-000D-0000-FFFF-FFFF00000000}"/>
  </bookViews>
  <sheets>
    <sheet name="input_SUM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" i="1" l="1"/>
  <c r="R2" i="1"/>
  <c r="S2" i="1"/>
  <c r="T2" i="1"/>
  <c r="U2" i="1"/>
  <c r="V2" i="1"/>
  <c r="W2" i="1"/>
  <c r="X2" i="1"/>
  <c r="Y2" i="1"/>
  <c r="Z2" i="1"/>
  <c r="AA2" i="1"/>
  <c r="Q3" i="1"/>
  <c r="R3" i="1"/>
  <c r="S3" i="1"/>
  <c r="T3" i="1"/>
  <c r="U3" i="1"/>
  <c r="V3" i="1"/>
  <c r="W3" i="1"/>
  <c r="X3" i="1"/>
  <c r="Y3" i="1"/>
  <c r="Z3" i="1"/>
  <c r="AA3" i="1"/>
  <c r="Q4" i="1"/>
  <c r="R4" i="1"/>
  <c r="S4" i="1"/>
  <c r="T4" i="1"/>
  <c r="U4" i="1"/>
  <c r="V4" i="1"/>
  <c r="W4" i="1"/>
  <c r="X4" i="1"/>
  <c r="Y4" i="1"/>
  <c r="Z4" i="1"/>
  <c r="AA4" i="1"/>
  <c r="Q5" i="1"/>
  <c r="R5" i="1"/>
  <c r="S5" i="1"/>
  <c r="T5" i="1"/>
  <c r="U5" i="1"/>
  <c r="V5" i="1"/>
  <c r="W5" i="1"/>
  <c r="X5" i="1"/>
  <c r="Y5" i="1"/>
  <c r="Z5" i="1"/>
  <c r="AA5" i="1"/>
  <c r="Q6" i="1"/>
  <c r="R6" i="1"/>
  <c r="S6" i="1"/>
  <c r="T6" i="1"/>
  <c r="U6" i="1"/>
  <c r="V6" i="1"/>
  <c r="W6" i="1"/>
  <c r="X6" i="1"/>
  <c r="Y6" i="1"/>
  <c r="Z6" i="1"/>
  <c r="AA6" i="1"/>
  <c r="P3" i="1"/>
  <c r="P4" i="1"/>
  <c r="P5" i="1"/>
  <c r="P6" i="1"/>
  <c r="P2" i="1"/>
  <c r="B29" i="1" l="1"/>
  <c r="C33" i="1"/>
  <c r="B33" i="1"/>
  <c r="C32" i="1"/>
  <c r="B32" i="1"/>
  <c r="C31" i="1"/>
  <c r="B31" i="1"/>
  <c r="C30" i="1"/>
  <c r="B30" i="1"/>
  <c r="C29" i="1"/>
  <c r="C9" i="1"/>
  <c r="B9" i="1"/>
  <c r="C10" i="1"/>
  <c r="C11" i="1"/>
  <c r="C12" i="1"/>
  <c r="C13" i="1"/>
  <c r="B10" i="1" l="1"/>
  <c r="B11" i="1"/>
  <c r="B12" i="1"/>
  <c r="B13" i="1"/>
</calcChain>
</file>

<file path=xl/sharedStrings.xml><?xml version="1.0" encoding="utf-8"?>
<sst xmlns="http://schemas.openxmlformats.org/spreadsheetml/2006/main" count="61" uniqueCount="24">
  <si>
    <t>F1176CTOF2852C_1</t>
  </si>
  <si>
    <t>F1176CTOF2852C_2</t>
  </si>
  <si>
    <t>F1176CTOF2852C_3</t>
  </si>
  <si>
    <t>F1176FTOF1176C_1</t>
  </si>
  <si>
    <t>F1176FTOF1176C_2</t>
  </si>
  <si>
    <t>F1176FTOF1176C_3</t>
  </si>
  <si>
    <t>F1176FTOF2852F_1</t>
  </si>
  <si>
    <t>F1176FTOF2852F_2</t>
  </si>
  <si>
    <t>F1176FTOF2852F_3</t>
  </si>
  <si>
    <t>F2852FTOF2852C_1</t>
  </si>
  <si>
    <t>F2852FTOF2852C_2</t>
  </si>
  <si>
    <t>F2852FTOF2852C_3</t>
  </si>
  <si>
    <t>SUM_Acinput</t>
  </si>
  <si>
    <t>SUM_Crinput</t>
  </si>
  <si>
    <t>SUM_Mainput</t>
  </si>
  <si>
    <t>SUM_Scinput</t>
  </si>
  <si>
    <t>SUM_Ubinput</t>
  </si>
  <si>
    <t>SUM_Ac_output</t>
  </si>
  <si>
    <t>SUM_Cr_output</t>
  </si>
  <si>
    <t>SUM_Ma_output</t>
  </si>
  <si>
    <t>SUM_Sc_output</t>
  </si>
  <si>
    <t>SUM_Ub_output</t>
  </si>
  <si>
    <t>F1176CTOF2852C_1</t>
    <phoneticPr fontId="19" type="noConversion"/>
  </si>
  <si>
    <t>F1176FTOF1176C_1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</si>
</sst>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2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12"/>
      <color rgb="FFFF0000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FF0000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4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>
      <alignment vertical="center"/>
    </xf>
    <xf numFmtId="0" fontId="0" fillId="33" borderId="0" xfId="0" applyFill="1" applyAlignment="1">
      <alignment vertical="center" wrapText="1"/>
    </xf>
    <xf numFmtId="0" fontId="0" fillId="33" borderId="0" xfId="0" applyFill="1">
      <alignment vertical="center"/>
    </xf>
    <xf numFmtId="0" fontId="20" fillId="0" borderId="0" xfId="0" applyFont="1">
      <alignment vertical="center"/>
    </xf>
    <xf numFmtId="0" fontId="21" fillId="0" borderId="0" xfId="0" applyFont="1" applyAlignment="1">
      <alignment vertical="center" wrapText="1"/>
    </xf>
    <xf numFmtId="0" fontId="21" fillId="33" borderId="0" xfId="0" applyFont="1" applyFill="1" applyAlignment="1">
      <alignment vertical="center" wrapText="1"/>
    </xf>
    <xf numFmtId="176" fontId="21" fillId="0" borderId="0" xfId="0" applyNumberFormat="1" applyFont="1">
      <alignment vertical="center"/>
    </xf>
    <xf numFmtId="176" fontId="21" fillId="33" borderId="0" xfId="0" applyNumberFormat="1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K1" workbookViewId="0">
      <selection activeCell="N15" sqref="N15"/>
    </sheetView>
  </sheetViews>
  <sheetFormatPr baseColWidth="10" defaultRowHeight="16"/>
  <cols>
    <col min="1" max="1" width="20.1640625" customWidth="1"/>
    <col min="2" max="13" width="12" customWidth="1"/>
  </cols>
  <sheetData>
    <row r="1" spans="1:27" s="1" customFormat="1" ht="34">
      <c r="B1" s="2" t="s">
        <v>22</v>
      </c>
      <c r="C1" s="3" t="s">
        <v>1</v>
      </c>
      <c r="D1" s="3" t="s">
        <v>2</v>
      </c>
      <c r="E1" s="5" t="s">
        <v>23</v>
      </c>
      <c r="F1" s="5" t="s">
        <v>4</v>
      </c>
      <c r="G1" s="5" t="s">
        <v>5</v>
      </c>
      <c r="H1" s="2" t="s">
        <v>6</v>
      </c>
      <c r="I1" s="3" t="s">
        <v>7</v>
      </c>
      <c r="J1" s="3" t="s">
        <v>8</v>
      </c>
      <c r="K1" s="5" t="s">
        <v>9</v>
      </c>
      <c r="L1" s="5" t="s">
        <v>10</v>
      </c>
      <c r="M1" s="5" t="s">
        <v>11</v>
      </c>
      <c r="P1" s="8" t="s">
        <v>22</v>
      </c>
      <c r="Q1" s="8" t="s">
        <v>1</v>
      </c>
      <c r="R1" s="8" t="s">
        <v>2</v>
      </c>
      <c r="S1" s="9" t="s">
        <v>23</v>
      </c>
      <c r="T1" s="9" t="s">
        <v>4</v>
      </c>
      <c r="U1" s="9" t="s">
        <v>5</v>
      </c>
      <c r="V1" s="8" t="s">
        <v>6</v>
      </c>
      <c r="W1" s="8" t="s">
        <v>7</v>
      </c>
      <c r="X1" s="8" t="s">
        <v>8</v>
      </c>
      <c r="Y1" s="9" t="s">
        <v>9</v>
      </c>
      <c r="Z1" s="9" t="s">
        <v>10</v>
      </c>
      <c r="AA1" s="9" t="s">
        <v>11</v>
      </c>
    </row>
    <row r="2" spans="1:27">
      <c r="A2" t="s">
        <v>12</v>
      </c>
      <c r="B2" s="4">
        <v>11.9878374406238</v>
      </c>
      <c r="C2" s="4">
        <v>16.6011209820667</v>
      </c>
      <c r="D2" s="4">
        <v>11.871523568732</v>
      </c>
      <c r="E2" s="6">
        <v>15.6380680780287</v>
      </c>
      <c r="F2" s="6">
        <v>11.476301574467101</v>
      </c>
      <c r="G2" s="6">
        <v>17.923523189462799</v>
      </c>
      <c r="H2" s="4">
        <v>11.5028227811828</v>
      </c>
      <c r="I2" s="4">
        <v>11.096199142984</v>
      </c>
      <c r="J2" s="4">
        <v>11.962731834856701</v>
      </c>
      <c r="K2" s="6">
        <v>14.2546839025285</v>
      </c>
      <c r="L2" s="6">
        <v>16.3562629209082</v>
      </c>
      <c r="M2" s="6">
        <v>14.8821165626129</v>
      </c>
      <c r="O2" t="s">
        <v>12</v>
      </c>
      <c r="P2" s="10">
        <f>B2/B22</f>
        <v>0.6212918923929126</v>
      </c>
      <c r="Q2" s="10">
        <f t="shared" ref="Q2:AA6" si="0">C2/C22</f>
        <v>1.1017602368887276</v>
      </c>
      <c r="R2" s="10">
        <f t="shared" si="0"/>
        <v>0.55815474663906539</v>
      </c>
      <c r="S2" s="11">
        <f t="shared" si="0"/>
        <v>0.7744151181282074</v>
      </c>
      <c r="T2" s="11">
        <f t="shared" si="0"/>
        <v>0.4639126429264297</v>
      </c>
      <c r="U2" s="11">
        <f t="shared" si="0"/>
        <v>1.0006994432677117</v>
      </c>
      <c r="V2" s="10">
        <f t="shared" si="0"/>
        <v>0.5781590457323138</v>
      </c>
      <c r="W2" s="10">
        <f t="shared" si="0"/>
        <v>0.52094359838422177</v>
      </c>
      <c r="X2" s="10">
        <f t="shared" si="0"/>
        <v>0.59852580624692742</v>
      </c>
      <c r="Y2" s="11">
        <f t="shared" si="0"/>
        <v>0.89694175624517614</v>
      </c>
      <c r="Z2" s="11">
        <f t="shared" si="0"/>
        <v>1.0632535197428801</v>
      </c>
      <c r="AA2" s="11">
        <f t="shared" si="0"/>
        <v>0.94935759612404358</v>
      </c>
    </row>
    <row r="3" spans="1:27">
      <c r="A3" t="s">
        <v>13</v>
      </c>
      <c r="B3" s="4">
        <v>31.450814121092801</v>
      </c>
      <c r="C3" s="4">
        <v>25.079354118595901</v>
      </c>
      <c r="D3" s="4">
        <v>28.371292260193702</v>
      </c>
      <c r="E3" s="6">
        <v>17.442570365517501</v>
      </c>
      <c r="F3" s="6">
        <v>17.279431047244898</v>
      </c>
      <c r="G3" s="6">
        <v>11.717492720429</v>
      </c>
      <c r="H3" s="4">
        <v>36.429537239031703</v>
      </c>
      <c r="I3" s="4">
        <v>35.706377516868002</v>
      </c>
      <c r="J3" s="4">
        <v>33.956726162468101</v>
      </c>
      <c r="K3" s="6">
        <v>20.330616321432998</v>
      </c>
      <c r="L3" s="6">
        <v>16.015531157121501</v>
      </c>
      <c r="M3" s="6">
        <v>16.279904906478599</v>
      </c>
      <c r="O3" t="s">
        <v>13</v>
      </c>
      <c r="P3" s="10">
        <f t="shared" ref="P3:P6" si="1">B3/B23</f>
        <v>3.750517975750824</v>
      </c>
      <c r="Q3" s="10">
        <f t="shared" si="0"/>
        <v>2.7059499410441989</v>
      </c>
      <c r="R3" s="10">
        <f t="shared" si="0"/>
        <v>3.9549516440972496</v>
      </c>
      <c r="S3" s="11">
        <f t="shared" si="0"/>
        <v>2.9463327725150141</v>
      </c>
      <c r="T3" s="11">
        <f t="shared" si="0"/>
        <v>2.5253979294329523</v>
      </c>
      <c r="U3" s="11">
        <f t="shared" si="0"/>
        <v>1.0267211236917142</v>
      </c>
      <c r="V3" s="10">
        <f t="shared" si="0"/>
        <v>9.1339139456102227</v>
      </c>
      <c r="W3" s="10">
        <f t="shared" si="0"/>
        <v>7.8889274437504984</v>
      </c>
      <c r="X3" s="10">
        <f t="shared" si="0"/>
        <v>6.3828292066900669</v>
      </c>
      <c r="Y3" s="11">
        <f t="shared" si="0"/>
        <v>0.82765677676547289</v>
      </c>
      <c r="Z3" s="11">
        <f t="shared" si="0"/>
        <v>0.58506017016676237</v>
      </c>
      <c r="AA3" s="11">
        <f t="shared" si="0"/>
        <v>0.60299324812419064</v>
      </c>
    </row>
    <row r="4" spans="1:27">
      <c r="A4" t="s">
        <v>14</v>
      </c>
      <c r="B4" s="4">
        <v>1.4994695993148</v>
      </c>
      <c r="C4" s="4">
        <v>1.45441364838399</v>
      </c>
      <c r="D4" s="4">
        <v>1.6252103492085499</v>
      </c>
      <c r="E4" s="6">
        <v>2.0226822608712398</v>
      </c>
      <c r="F4" s="6">
        <v>1.7839569522407599</v>
      </c>
      <c r="G4" s="6">
        <v>1.6505490066731701</v>
      </c>
      <c r="H4" s="4">
        <v>1.1562826359373799</v>
      </c>
      <c r="I4" s="4">
        <v>1.1468407474178299</v>
      </c>
      <c r="J4" s="4">
        <v>1.38472341224978</v>
      </c>
      <c r="K4" s="6">
        <v>1.7282424674653001</v>
      </c>
      <c r="L4" s="6">
        <v>1.7498195930690199</v>
      </c>
      <c r="M4" s="6">
        <v>1.6858211153809901</v>
      </c>
      <c r="O4" t="s">
        <v>14</v>
      </c>
      <c r="P4" s="10">
        <f t="shared" si="1"/>
        <v>0.74863419503795003</v>
      </c>
      <c r="Q4" s="10">
        <f t="shared" si="0"/>
        <v>0.76437660948107256</v>
      </c>
      <c r="R4" s="10">
        <f t="shared" si="0"/>
        <v>1.1640516001124181</v>
      </c>
      <c r="S4" s="11">
        <f t="shared" si="0"/>
        <v>0.94626996961256937</v>
      </c>
      <c r="T4" s="11">
        <f t="shared" si="0"/>
        <v>0.88289555473544523</v>
      </c>
      <c r="U4" s="11">
        <f t="shared" si="0"/>
        <v>0.68837375315944571</v>
      </c>
      <c r="V4" s="10">
        <f t="shared" si="0"/>
        <v>0.59097333400962138</v>
      </c>
      <c r="W4" s="10">
        <f t="shared" si="0"/>
        <v>0.58083689009158113</v>
      </c>
      <c r="X4" s="10">
        <f t="shared" si="0"/>
        <v>0.78463967152493497</v>
      </c>
      <c r="Y4" s="11">
        <f t="shared" si="0"/>
        <v>1.230221115580342</v>
      </c>
      <c r="Z4" s="11">
        <f t="shared" si="0"/>
        <v>1.2193326760031438</v>
      </c>
      <c r="AA4" s="11">
        <f t="shared" si="0"/>
        <v>0.99367216511770606</v>
      </c>
    </row>
    <row r="5" spans="1:27">
      <c r="A5" t="s">
        <v>15</v>
      </c>
      <c r="B5" s="4">
        <v>16.152337657755599</v>
      </c>
      <c r="C5" s="4">
        <v>13.8733581906497</v>
      </c>
      <c r="D5" s="4">
        <v>15.569603666632</v>
      </c>
      <c r="E5" s="6">
        <v>15.588107461842</v>
      </c>
      <c r="F5" s="6">
        <v>22.220272063358799</v>
      </c>
      <c r="G5" s="6">
        <v>20.555734471841902</v>
      </c>
      <c r="H5" s="4">
        <v>13.1262269606906</v>
      </c>
      <c r="I5" s="4">
        <v>12.328651150992499</v>
      </c>
      <c r="J5" s="4">
        <v>14.4994069886123</v>
      </c>
      <c r="K5" s="6">
        <v>16.795402013601802</v>
      </c>
      <c r="L5" s="6">
        <v>18.005597726707599</v>
      </c>
      <c r="M5" s="6">
        <v>17.327743990942398</v>
      </c>
      <c r="O5" t="s">
        <v>15</v>
      </c>
      <c r="P5" s="10">
        <f t="shared" si="1"/>
        <v>0.93126324471024413</v>
      </c>
      <c r="Q5" s="10">
        <f t="shared" si="0"/>
        <v>0.53526251799419411</v>
      </c>
      <c r="R5" s="10">
        <f t="shared" si="0"/>
        <v>0.75988822212896712</v>
      </c>
      <c r="S5" s="11">
        <f t="shared" si="0"/>
        <v>0.55133254308777446</v>
      </c>
      <c r="T5" s="11">
        <f t="shared" si="0"/>
        <v>1.0607547036673899</v>
      </c>
      <c r="U5" s="11">
        <f t="shared" si="0"/>
        <v>0.85131428168697332</v>
      </c>
      <c r="V5" s="10">
        <f t="shared" si="0"/>
        <v>0.58136092238962478</v>
      </c>
      <c r="W5" s="10">
        <f t="shared" si="0"/>
        <v>0.55018722265792774</v>
      </c>
      <c r="X5" s="10">
        <f t="shared" si="0"/>
        <v>0.69335968175932694</v>
      </c>
      <c r="Y5" s="11">
        <f t="shared" si="0"/>
        <v>0.93548087312772743</v>
      </c>
      <c r="Z5" s="11">
        <f t="shared" si="0"/>
        <v>1.0687006286067446</v>
      </c>
      <c r="AA5" s="11">
        <f t="shared" si="0"/>
        <v>0.93025369013320236</v>
      </c>
    </row>
    <row r="6" spans="1:27">
      <c r="A6" t="s">
        <v>16</v>
      </c>
      <c r="B6" s="4">
        <v>16.4121211605732</v>
      </c>
      <c r="C6" s="4">
        <v>17.744597678845</v>
      </c>
      <c r="D6" s="4">
        <v>16.384972586570999</v>
      </c>
      <c r="E6" s="6">
        <v>16.957615703256899</v>
      </c>
      <c r="F6" s="6">
        <v>15.6350252234121</v>
      </c>
      <c r="G6" s="6">
        <v>17.291403072443298</v>
      </c>
      <c r="H6" s="4">
        <v>16.223272594419299</v>
      </c>
      <c r="I6" s="4">
        <v>14.4704887376981</v>
      </c>
      <c r="J6" s="4">
        <v>16.407820719142599</v>
      </c>
      <c r="K6" s="6">
        <v>15.1059915426946</v>
      </c>
      <c r="L6" s="6">
        <v>17.6980434388901</v>
      </c>
      <c r="M6" s="6">
        <v>15.582399066037601</v>
      </c>
      <c r="O6" t="s">
        <v>16</v>
      </c>
      <c r="P6" s="10">
        <f t="shared" si="1"/>
        <v>1.0145609071670416</v>
      </c>
      <c r="Q6" s="10">
        <f t="shared" si="0"/>
        <v>1.1568170531992241</v>
      </c>
      <c r="R6" s="10">
        <f t="shared" si="0"/>
        <v>1.0102797325099657</v>
      </c>
      <c r="S6" s="11">
        <f t="shared" si="0"/>
        <v>0.89310401913405013</v>
      </c>
      <c r="T6" s="11">
        <f t="shared" si="0"/>
        <v>0.80865300111461702</v>
      </c>
      <c r="U6" s="11">
        <f t="shared" si="0"/>
        <v>0.94231919992963353</v>
      </c>
      <c r="V6" s="10">
        <f t="shared" si="0"/>
        <v>1.0242539136162694</v>
      </c>
      <c r="W6" s="10">
        <f t="shared" si="0"/>
        <v>0.82965574620060301</v>
      </c>
      <c r="X6" s="10">
        <f t="shared" si="0"/>
        <v>1.014196521555125</v>
      </c>
      <c r="Y6" s="11">
        <f t="shared" si="0"/>
        <v>0.86284399826108638</v>
      </c>
      <c r="Z6" s="11">
        <f t="shared" si="0"/>
        <v>1.1570353108808458</v>
      </c>
      <c r="AA6" s="11">
        <f t="shared" si="0"/>
        <v>0.93410680714253991</v>
      </c>
    </row>
    <row r="8" spans="1:27">
      <c r="B8" s="4">
        <v>1</v>
      </c>
      <c r="C8" s="4">
        <v>2</v>
      </c>
      <c r="D8" s="4"/>
    </row>
    <row r="9" spans="1:27">
      <c r="A9" t="s">
        <v>12</v>
      </c>
      <c r="B9">
        <f>TTEST(B2:D2,H2:J2,2,2)</f>
        <v>0.28061452558140282</v>
      </c>
      <c r="C9">
        <f>TTEST(E2:G2,K2:M2,2,2)</f>
        <v>0.94281158733128945</v>
      </c>
    </row>
    <row r="10" spans="1:27">
      <c r="A10" t="s">
        <v>13</v>
      </c>
      <c r="B10" s="7">
        <f t="shared" ref="B10:B13" si="2">TTEST(B3:D3,H3:J3,2,2)</f>
        <v>2.3452556411197999E-2</v>
      </c>
      <c r="C10">
        <f t="shared" ref="C10:C13" si="3">TTEST(E3:G3,K3:M3,2,2)</f>
        <v>0.42853143220514928</v>
      </c>
    </row>
    <row r="11" spans="1:27">
      <c r="A11" t="s">
        <v>14</v>
      </c>
      <c r="B11" s="7">
        <f t="shared" si="2"/>
        <v>3.3138400358606386E-2</v>
      </c>
      <c r="C11">
        <f t="shared" si="3"/>
        <v>0.42610724928266708</v>
      </c>
    </row>
    <row r="12" spans="1:27">
      <c r="A12" t="s">
        <v>15</v>
      </c>
      <c r="B12">
        <f t="shared" si="2"/>
        <v>0.11389521572308364</v>
      </c>
      <c r="C12">
        <f t="shared" si="3"/>
        <v>0.36222127495819567</v>
      </c>
    </row>
    <row r="13" spans="1:27">
      <c r="A13" t="s">
        <v>16</v>
      </c>
      <c r="B13">
        <f t="shared" si="2"/>
        <v>0.20738526375994432</v>
      </c>
      <c r="C13">
        <f t="shared" si="3"/>
        <v>0.62476379164339402</v>
      </c>
    </row>
    <row r="21" spans="1:13" s="1" customFormat="1" ht="34">
      <c r="B21" s="2" t="s">
        <v>0</v>
      </c>
      <c r="C21" s="3" t="s">
        <v>1</v>
      </c>
      <c r="D21" s="3" t="s">
        <v>2</v>
      </c>
      <c r="E21" s="5" t="s">
        <v>3</v>
      </c>
      <c r="F21" s="5" t="s">
        <v>4</v>
      </c>
      <c r="G21" s="5" t="s">
        <v>5</v>
      </c>
      <c r="H21" s="2" t="s">
        <v>6</v>
      </c>
      <c r="I21" s="3" t="s">
        <v>7</v>
      </c>
      <c r="J21" s="3" t="s">
        <v>8</v>
      </c>
      <c r="K21" s="5" t="s">
        <v>9</v>
      </c>
      <c r="L21" s="5" t="s">
        <v>10</v>
      </c>
      <c r="M21" s="5" t="s">
        <v>11</v>
      </c>
    </row>
    <row r="22" spans="1:13">
      <c r="A22" t="s">
        <v>17</v>
      </c>
      <c r="B22" s="4">
        <v>19.295016702137399</v>
      </c>
      <c r="C22" s="4">
        <v>15.0678164143469</v>
      </c>
      <c r="D22" s="4">
        <v>21.2692333805571</v>
      </c>
      <c r="E22" s="6">
        <v>20.1933920347869</v>
      </c>
      <c r="F22" s="6">
        <v>24.7380659903401</v>
      </c>
      <c r="G22" s="6">
        <v>17.910995464267302</v>
      </c>
      <c r="H22" s="4">
        <v>19.895602890054199</v>
      </c>
      <c r="I22" s="4">
        <v>21.300192914166502</v>
      </c>
      <c r="J22" s="4">
        <v>19.986994228150898</v>
      </c>
      <c r="K22" s="6">
        <v>15.892541297444099</v>
      </c>
      <c r="L22" s="6">
        <v>15.383220104329901</v>
      </c>
      <c r="M22" s="6">
        <v>15.675986186208799</v>
      </c>
    </row>
    <row r="23" spans="1:13">
      <c r="A23" t="s">
        <v>18</v>
      </c>
      <c r="B23" s="4">
        <v>8.3857254716387803</v>
      </c>
      <c r="C23" s="4">
        <v>9.2682254531722901</v>
      </c>
      <c r="D23" s="4">
        <v>7.1736129321676403</v>
      </c>
      <c r="E23" s="6">
        <v>5.9200951529410499</v>
      </c>
      <c r="F23" s="6">
        <v>6.8422607169575</v>
      </c>
      <c r="G23" s="6">
        <v>11.4125369100201</v>
      </c>
      <c r="H23" s="4">
        <v>3.9883819199478898</v>
      </c>
      <c r="I23" s="4">
        <v>4.5261384100007298</v>
      </c>
      <c r="J23" s="4">
        <v>5.3200117162584997</v>
      </c>
      <c r="K23" s="6">
        <v>24.564066763140801</v>
      </c>
      <c r="L23" s="6">
        <v>27.374160768039498</v>
      </c>
      <c r="M23" s="6">
        <v>26.998486230356001</v>
      </c>
    </row>
    <row r="24" spans="1:13">
      <c r="A24" t="s">
        <v>19</v>
      </c>
      <c r="B24" s="4">
        <v>2.0029403001539201</v>
      </c>
      <c r="C24" s="4">
        <v>1.9027448385310699</v>
      </c>
      <c r="D24" s="4">
        <v>1.3961669302731901</v>
      </c>
      <c r="E24" s="6">
        <v>2.1375319156533998</v>
      </c>
      <c r="F24" s="6">
        <v>2.02057530210956</v>
      </c>
      <c r="G24" s="6">
        <v>2.3977512203183302</v>
      </c>
      <c r="H24" s="4">
        <v>1.9565732824055899</v>
      </c>
      <c r="I24" s="4">
        <v>1.9744626537701599</v>
      </c>
      <c r="J24" s="4">
        <v>1.7647889375241399</v>
      </c>
      <c r="K24" s="6">
        <v>1.4048226335718701</v>
      </c>
      <c r="L24" s="6">
        <v>1.4350633157841399</v>
      </c>
      <c r="M24" s="6">
        <v>1.69655664570346</v>
      </c>
    </row>
    <row r="25" spans="1:13">
      <c r="A25" t="s">
        <v>20</v>
      </c>
      <c r="B25" s="4">
        <v>17.344545432780698</v>
      </c>
      <c r="C25" s="4">
        <v>25.918792600381899</v>
      </c>
      <c r="D25" s="4">
        <v>20.489334106285899</v>
      </c>
      <c r="E25" s="6">
        <v>28.2735123425506</v>
      </c>
      <c r="F25" s="6">
        <v>20.947606441466402</v>
      </c>
      <c r="G25" s="6">
        <v>24.145882330446099</v>
      </c>
      <c r="H25" s="4">
        <v>22.578447321049001</v>
      </c>
      <c r="I25" s="4">
        <v>22.408101539387602</v>
      </c>
      <c r="J25" s="4">
        <v>20.911811531673699</v>
      </c>
      <c r="K25" s="6">
        <v>17.953763135153501</v>
      </c>
      <c r="L25" s="6">
        <v>16.848121208819101</v>
      </c>
      <c r="M25" s="6">
        <v>18.626901644927901</v>
      </c>
    </row>
    <row r="26" spans="1:13">
      <c r="A26" t="s">
        <v>21</v>
      </c>
      <c r="B26" s="4">
        <v>16.1765755457706</v>
      </c>
      <c r="C26" s="4">
        <v>15.339156377208999</v>
      </c>
      <c r="D26" s="4">
        <v>16.2182532810628</v>
      </c>
      <c r="E26" s="6">
        <v>18.987279577690099</v>
      </c>
      <c r="F26" s="6">
        <v>19.334653061154</v>
      </c>
      <c r="G26" s="6">
        <v>18.349836312084602</v>
      </c>
      <c r="H26" s="4">
        <v>15.8391121368927</v>
      </c>
      <c r="I26" s="4">
        <v>17.441557903944499</v>
      </c>
      <c r="J26" s="4">
        <v>16.178147302244302</v>
      </c>
      <c r="K26" s="6">
        <v>17.507210542274301</v>
      </c>
      <c r="L26" s="6">
        <v>15.2960270723429</v>
      </c>
      <c r="M26" s="6">
        <v>16.681603160247398</v>
      </c>
    </row>
    <row r="29" spans="1:13">
      <c r="A29" t="s">
        <v>17</v>
      </c>
      <c r="B29">
        <f>TTEST(B22:D22,H22:J22,2,2)</f>
        <v>0.38179675768620397</v>
      </c>
      <c r="C29">
        <f>TTEST(E22:G22,K22:M22,2,2)</f>
        <v>5.8022129869776722E-2</v>
      </c>
    </row>
    <row r="30" spans="1:13">
      <c r="A30" t="s">
        <v>18</v>
      </c>
      <c r="B30" s="7">
        <f t="shared" ref="B30:B33" si="4">TTEST(B23:D23,H23:J23,2,2)</f>
        <v>7.0303878409413295E-3</v>
      </c>
      <c r="C30" s="7">
        <f t="shared" ref="C30:C33" si="5">TTEST(E23:G23,K23:M23,2,2)</f>
        <v>6.7358743333775675E-4</v>
      </c>
    </row>
    <row r="31" spans="1:13">
      <c r="A31" t="s">
        <v>19</v>
      </c>
      <c r="B31">
        <f t="shared" si="4"/>
        <v>0.54619103860621943</v>
      </c>
      <c r="C31" s="7">
        <f t="shared" si="5"/>
        <v>9.6994613402225857E-3</v>
      </c>
    </row>
    <row r="32" spans="1:13">
      <c r="A32" t="s">
        <v>20</v>
      </c>
      <c r="B32">
        <f t="shared" si="4"/>
        <v>0.79377148745868009</v>
      </c>
      <c r="C32" s="7">
        <f t="shared" si="5"/>
        <v>3.8231984322273066E-2</v>
      </c>
    </row>
    <row r="33" spans="1:3">
      <c r="A33" t="s">
        <v>21</v>
      </c>
      <c r="B33">
        <f t="shared" si="4"/>
        <v>0.36673781326879118</v>
      </c>
      <c r="C33" s="7">
        <f t="shared" si="5"/>
        <v>2.7522942649430511E-2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input_SUM1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2022-12-08T15:43:14Z</dcterms:created>
  <dcterms:modified xsi:type="dcterms:W3CDTF">2023-01-28T15:49:30Z</dcterms:modified>
</cp:coreProperties>
</file>